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xmlns:r="http://schemas.openxmlformats.org/officeDocument/2006/relationships" name="RF" sheetId="1" state="visible" r:id="rId1"/>
    <sheet xmlns:r="http://schemas.openxmlformats.org/officeDocument/2006/relationships" name="RNF" sheetId="2" state="visible" r:id="rId2"/>
    <sheet xmlns:r="http://schemas.openxmlformats.org/officeDocument/2006/relationships" name="Trazabilidad" sheetId="3" state="visible" r:id="rId3"/>
    <sheet xmlns:r="http://schemas.openxmlformats.org/officeDocument/2006/relationships" name="Control de cambio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"/>
    <numFmt numFmtId="165" formatCode="_ * #,##0.00_ ;_ * \-#,##0.00_ ;_ * &quot;-&quot;??_ ;_ @_ "/>
    <numFmt numFmtId="166" formatCode="_ * #,##0_ ;_ * \-#,##0_ ;_ * &quot;-&quot;_ ;_ @_ "/>
    <numFmt numFmtId="167" formatCode="0&quot; h&quot;"/>
  </numFmts>
  <fonts count="51">
    <font>
      <name val="Calibri"/>
      <charset val="134"/>
      <color rgb="FF000000"/>
      <sz val="11"/>
      <scheme val="minor"/>
    </font>
    <font>
      <name val="Arial"/>
      <charset val="134"/>
      <color rgb="FF000000"/>
      <sz val="8"/>
    </font>
    <font>
      <name val="Arial"/>
      <charset val="134"/>
      <color rgb="FFFFFFFF"/>
      <sz val="11"/>
    </font>
    <font>
      <name val="Calibri"/>
      <charset val="134"/>
      <sz val="11"/>
      <scheme val="minor"/>
    </font>
    <font>
      <name val="Arial"/>
      <charset val="134"/>
      <b val="1"/>
      <color rgb="FF000000"/>
      <sz val="11"/>
    </font>
    <font>
      <name val="Arial"/>
      <charset val="134"/>
      <color rgb="FF000000"/>
      <sz val="10"/>
    </font>
    <font>
      <name val="Arial"/>
      <charset val="134"/>
      <color rgb="FF000000"/>
      <sz val="11"/>
    </font>
    <font>
      <name val="Arial"/>
      <charset val="134"/>
      <color rgb="FF006100"/>
      <sz val="11"/>
    </font>
    <font>
      <name val="Arial"/>
      <charset val="134"/>
      <i val="1"/>
      <color rgb="FF000000"/>
      <sz val="7"/>
    </font>
    <font>
      <name val="Arial"/>
      <charset val="134"/>
      <i val="1"/>
      <color rgb="FF000000"/>
      <sz val="10"/>
    </font>
    <font>
      <name val="Arial"/>
      <charset val="134"/>
      <b val="1"/>
      <color rgb="FF000000"/>
      <sz val="10"/>
    </font>
    <font>
      <name val="Arial"/>
      <charset val="134"/>
      <color rgb="FF000000"/>
      <sz val="10"/>
      <u val="single"/>
    </font>
    <font>
      <name val="Calibri"/>
      <charset val="134"/>
      <b val="1"/>
      <color rgb="FF1F1F1F"/>
      <sz val="14"/>
      <scheme val="major"/>
    </font>
    <font>
      <name val="Arial"/>
      <charset val="134"/>
      <color rgb="FF000000"/>
      <sz val="14"/>
    </font>
    <font>
      <name val="Arial"/>
      <charset val="134"/>
      <color rgb="FF000000"/>
      <sz val="9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Calibri"/>
      <charset val="134"/>
      <color rgb="FF000000"/>
      <sz val="9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SimSun"/>
      <charset val="134"/>
      <sz val="10"/>
    </font>
    <font>
      <name val="Arial"/>
      <b val="1"/>
      <color rgb="FF000000"/>
      <sz val="11"/>
    </font>
    <font>
      <name val="Calibri"/>
      <b val="1"/>
      <color rgb="FF1F1F1F"/>
      <sz val="14"/>
    </font>
    <font>
      <name val="Arial"/>
      <color rgb="FF000000"/>
      <sz val="14"/>
    </font>
    <font>
      <name val="Arial"/>
      <sz val="11"/>
    </font>
    <font>
      <name val="Arial"/>
      <b val="1"/>
      <sz val="10"/>
    </font>
    <font>
      <name val="Arial"/>
      <b val="1"/>
      <sz val="8"/>
    </font>
    <font>
      <name val="Arial"/>
      <color rgb="FFFFFFFF"/>
      <sz val="11"/>
    </font>
    <font>
      <name val="Arial"/>
      <color rgb="FF006100"/>
      <sz val="11"/>
    </font>
    <font>
      <name val="Arial"/>
      <sz val="8"/>
    </font>
    <font>
      <name val="Arial"/>
      <b val="1"/>
      <sz val="11"/>
    </font>
    <font>
      <name val="Arial"/>
      <b val="1"/>
      <sz val="9"/>
    </font>
    <font>
      <name val="Arial"/>
      <i val="1"/>
      <sz val="8"/>
    </font>
  </fonts>
  <fills count="72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BDD6EE"/>
        <bgColor rgb="FFBDD6EE"/>
      </patternFill>
    </fill>
    <fill>
      <patternFill patternType="solid">
        <fgColor rgb="FFD9E2F3"/>
        <bgColor rgb="FFD9E2F3"/>
      </patternFill>
    </fill>
    <fill>
      <patternFill patternType="solid">
        <fgColor theme="4"/>
        <bgColor theme="4"/>
      </patternFill>
    </fill>
    <fill>
      <patternFill patternType="solid">
        <fgColor rgb="FF00FFFF"/>
        <bgColor rgb="FF00FFFF"/>
      </patternFill>
    </fill>
    <fill>
      <patternFill patternType="solid">
        <fgColor theme="9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DCCA00"/>
        <bgColor indexed="64"/>
      </patternFill>
    </fill>
    <fill>
      <patternFill patternType="solid">
        <fgColor rgb="FFEEA149"/>
        <bgColor indexed="64"/>
      </patternFill>
    </fill>
    <fill>
      <patternFill patternType="solid">
        <fgColor rgb="FFF7FC7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FFFF"/>
      </patternFill>
    </fill>
    <fill>
      <patternFill patternType="solid">
        <fgColor rgb="FFFFFF00"/>
      </patternFill>
    </fill>
    <fill>
      <patternFill patternType="solid">
        <fgColor theme="9" tint="0.6"/>
      </patternFill>
    </fill>
    <fill>
      <patternFill patternType="solid">
        <fgColor theme="8" tint="0.4"/>
      </patternFill>
    </fill>
    <fill>
      <patternFill patternType="solid">
        <fgColor theme="7" tint="0.4"/>
      </patternFill>
    </fill>
    <fill>
      <patternFill patternType="solid">
        <fgColor theme="5" tint="0.4"/>
      </patternFill>
    </fill>
    <fill>
      <patternFill patternType="solid">
        <fgColor theme="4" tint="0.4"/>
      </patternFill>
    </fill>
    <fill>
      <patternFill patternType="solid">
        <fgColor rgb="FFDCCA00"/>
      </patternFill>
    </fill>
    <fill>
      <patternFill patternType="solid">
        <fgColor rgb="FFEEA149"/>
      </patternFill>
    </fill>
    <fill>
      <patternFill patternType="solid">
        <fgColor rgb="FFF7FC7E"/>
      </patternFill>
    </fill>
    <fill>
      <patternFill patternType="solid">
        <fgColor rgb="FFC9B6E4"/>
      </patternFill>
    </fill>
    <fill>
      <patternFill patternType="solid">
        <fgColor rgb="FFB4DEE6"/>
      </patternFill>
    </fill>
    <fill>
      <patternFill patternType="solid">
        <fgColor rgb="FFD9D9D9"/>
      </patternFill>
    </fill>
    <fill>
      <patternFill patternType="solid">
        <fgColor rgb="FFBDD6EE"/>
      </patternFill>
    </fill>
    <fill>
      <patternFill patternType="solid">
        <fgColor rgb="FFD9E2F3"/>
      </patternFill>
    </fill>
    <fill>
      <patternFill patternType="solid">
        <fgColor theme="4"/>
      </patternFill>
    </fill>
    <fill>
      <patternFill patternType="solid">
        <fgColor rgb="FFFF0000"/>
      </patternFill>
    </fill>
    <fill>
      <patternFill patternType="solid">
        <fgColor rgb="FFC6EFCE"/>
      </patternFill>
    </fill>
    <fill>
      <patternFill patternType="solid">
        <fgColor rgb="FFFFFF99"/>
      </patternFill>
    </fill>
    <fill>
      <patternFill patternType="solid">
        <fgColor rgb="FFF2F2F2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49">
    <xf numFmtId="0" fontId="0" fillId="0" borderId="0"/>
    <xf numFmtId="165" fontId="18" fillId="0" borderId="0" applyAlignment="1">
      <alignment vertical="center"/>
    </xf>
    <xf numFmtId="44" fontId="18" fillId="0" borderId="0" applyAlignment="1">
      <alignment vertical="center"/>
    </xf>
    <xf numFmtId="9" fontId="18" fillId="0" borderId="0" applyAlignment="1">
      <alignment vertical="center"/>
    </xf>
    <xf numFmtId="166" fontId="18" fillId="0" borderId="0" applyAlignment="1">
      <alignment vertical="center"/>
    </xf>
    <xf numFmtId="42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18" fillId="21" borderId="28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29" applyAlignment="1">
      <alignment vertical="center"/>
    </xf>
    <xf numFmtId="0" fontId="25" fillId="0" borderId="29" applyAlignment="1">
      <alignment vertical="center"/>
    </xf>
    <xf numFmtId="0" fontId="26" fillId="0" borderId="30" applyAlignment="1">
      <alignment vertical="center"/>
    </xf>
    <xf numFmtId="0" fontId="26" fillId="0" borderId="0" applyAlignment="1">
      <alignment vertical="center"/>
    </xf>
    <xf numFmtId="0" fontId="27" fillId="22" borderId="31" applyAlignment="1">
      <alignment vertical="center"/>
    </xf>
    <xf numFmtId="0" fontId="28" fillId="23" borderId="32" applyAlignment="1">
      <alignment vertical="center"/>
    </xf>
    <xf numFmtId="0" fontId="29" fillId="23" borderId="31" applyAlignment="1">
      <alignment vertical="center"/>
    </xf>
    <xf numFmtId="0" fontId="30" fillId="24" borderId="33" applyAlignment="1">
      <alignment vertical="center"/>
    </xf>
    <xf numFmtId="0" fontId="31" fillId="0" borderId="34" applyAlignment="1">
      <alignment vertical="center"/>
    </xf>
    <xf numFmtId="0" fontId="32" fillId="0" borderId="35" applyAlignment="1">
      <alignment vertical="center"/>
    </xf>
    <xf numFmtId="0" fontId="33" fillId="25" borderId="0" applyAlignment="1">
      <alignment vertical="center"/>
    </xf>
    <xf numFmtId="0" fontId="34" fillId="26" borderId="0" applyAlignment="1">
      <alignment vertical="center"/>
    </xf>
    <xf numFmtId="0" fontId="35" fillId="27" borderId="0" applyAlignment="1">
      <alignment vertical="center"/>
    </xf>
    <xf numFmtId="0" fontId="36" fillId="28" borderId="0" applyAlignment="1">
      <alignment vertical="center"/>
    </xf>
    <xf numFmtId="0" fontId="37" fillId="29" borderId="0" applyAlignment="1">
      <alignment vertical="center"/>
    </xf>
    <xf numFmtId="0" fontId="37" fillId="30" borderId="0" applyAlignment="1">
      <alignment vertical="center"/>
    </xf>
    <xf numFmtId="0" fontId="36" fillId="31" borderId="0" applyAlignment="1">
      <alignment vertical="center"/>
    </xf>
    <xf numFmtId="0" fontId="36" fillId="32" borderId="0" applyAlignment="1">
      <alignment vertical="center"/>
    </xf>
    <xf numFmtId="0" fontId="37" fillId="33" borderId="0" applyAlignment="1">
      <alignment vertical="center"/>
    </xf>
    <xf numFmtId="0" fontId="37" fillId="34" borderId="0" applyAlignment="1">
      <alignment vertical="center"/>
    </xf>
    <xf numFmtId="0" fontId="36" fillId="35" borderId="0" applyAlignment="1">
      <alignment vertical="center"/>
    </xf>
    <xf numFmtId="0" fontId="36" fillId="36" borderId="0" applyAlignment="1">
      <alignment vertical="center"/>
    </xf>
    <xf numFmtId="0" fontId="37" fillId="37" borderId="0" applyAlignment="1">
      <alignment vertical="center"/>
    </xf>
    <xf numFmtId="0" fontId="37" fillId="38" borderId="0" applyAlignment="1">
      <alignment vertical="center"/>
    </xf>
    <xf numFmtId="0" fontId="36" fillId="39" borderId="0" applyAlignment="1">
      <alignment vertical="center"/>
    </xf>
    <xf numFmtId="0" fontId="36" fillId="40" borderId="0" applyAlignment="1">
      <alignment vertical="center"/>
    </xf>
    <xf numFmtId="0" fontId="37" fillId="41" borderId="0" applyAlignment="1">
      <alignment vertical="center"/>
    </xf>
    <xf numFmtId="0" fontId="37" fillId="42" borderId="0" applyAlignment="1">
      <alignment vertical="center"/>
    </xf>
    <xf numFmtId="0" fontId="36" fillId="43" borderId="0" applyAlignment="1">
      <alignment vertical="center"/>
    </xf>
    <xf numFmtId="0" fontId="36" fillId="44" borderId="0" applyAlignment="1">
      <alignment vertical="center"/>
    </xf>
    <xf numFmtId="0" fontId="37" fillId="45" borderId="0" applyAlignment="1">
      <alignment vertical="center"/>
    </xf>
    <xf numFmtId="0" fontId="37" fillId="46" borderId="0" applyAlignment="1">
      <alignment vertical="center"/>
    </xf>
    <xf numFmtId="0" fontId="36" fillId="47" borderId="0" applyAlignment="1">
      <alignment vertical="center"/>
    </xf>
    <xf numFmtId="0" fontId="36" fillId="48" borderId="0" applyAlignment="1">
      <alignment vertical="center"/>
    </xf>
    <xf numFmtId="0" fontId="37" fillId="49" borderId="0" applyAlignment="1">
      <alignment vertical="center"/>
    </xf>
    <xf numFmtId="0" fontId="37" fillId="50" borderId="0" applyAlignment="1">
      <alignment vertical="center"/>
    </xf>
    <xf numFmtId="0" fontId="36" fillId="51" borderId="0" applyAlignment="1">
      <alignment vertical="center"/>
    </xf>
  </cellStyleXfs>
  <cellXfs count="18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 wrapText="1"/>
    </xf>
    <xf numFmtId="0" fontId="1" fillId="3" borderId="6" pivotButton="0" quotePrefix="0" xfId="0"/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3" fillId="0" borderId="10" pivotButton="0" quotePrefix="0" xfId="0"/>
    <xf numFmtId="0" fontId="1" fillId="3" borderId="11" pivotButton="0" quotePrefix="0" xfId="0"/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0" fontId="4" fillId="4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6" fillId="0" borderId="12" pivotButton="0" quotePrefix="0" xfId="0"/>
    <xf numFmtId="0" fontId="3" fillId="0" borderId="18" pivotButton="0" quotePrefix="0" xfId="0"/>
    <xf numFmtId="0" fontId="1" fillId="3" borderId="19" pivotButton="0" quotePrefix="0" xfId="0"/>
    <xf numFmtId="0" fontId="6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3" fillId="0" borderId="20" pivotButton="0" quotePrefix="0" xfId="0"/>
    <xf numFmtId="0" fontId="7" fillId="5" borderId="21" applyAlignment="1" pivotButton="0" quotePrefix="0" xfId="0">
      <alignment horizontal="center" vertical="center"/>
    </xf>
    <xf numFmtId="0" fontId="6" fillId="6" borderId="21" applyAlignment="1" pivotButton="0" quotePrefix="0" xfId="0">
      <alignment horizontal="center" vertical="center"/>
    </xf>
    <xf numFmtId="0" fontId="3" fillId="0" borderId="22" pivotButton="0" quotePrefix="0" xfId="0"/>
    <xf numFmtId="0" fontId="1" fillId="7" borderId="4" applyAlignment="1" pivotButton="0" quotePrefix="0" xfId="0">
      <alignment horizontal="center"/>
    </xf>
    <xf numFmtId="0" fontId="8" fillId="8" borderId="4" applyAlignment="1" pivotButton="0" quotePrefix="0" xfId="0">
      <alignment horizontal="center" vertical="center" wrapText="1"/>
    </xf>
    <xf numFmtId="0" fontId="8" fillId="8" borderId="19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/>
    </xf>
    <xf numFmtId="0" fontId="9" fillId="0" borderId="8" pivotButton="0" quotePrefix="0" xfId="0"/>
    <xf numFmtId="0" fontId="5" fillId="0" borderId="24" applyAlignment="1" pivotButton="0" quotePrefix="0" xfId="0">
      <alignment horizontal="center"/>
    </xf>
    <xf numFmtId="0" fontId="10" fillId="0" borderId="14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9" fillId="0" borderId="13" pivotButton="0" quotePrefix="0" xfId="0"/>
    <xf numFmtId="0" fontId="11" fillId="0" borderId="14" applyAlignment="1" pivotButton="0" quotePrefix="0" xfId="0">
      <alignment horizontal="center"/>
    </xf>
    <xf numFmtId="0" fontId="9" fillId="0" borderId="16" pivotButton="0" quotePrefix="0" xfId="0"/>
    <xf numFmtId="0" fontId="4" fillId="4" borderId="24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1" fillId="0" borderId="0" pivotButton="0" quotePrefix="0" xfId="0"/>
    <xf numFmtId="0" fontId="1" fillId="3" borderId="25" applyAlignment="1" pivotButton="0" quotePrefix="0" xfId="0">
      <alignment wrapText="1"/>
    </xf>
    <xf numFmtId="0" fontId="1" fillId="4" borderId="0" pivotButton="0" quotePrefix="0" xfId="0"/>
    <xf numFmtId="0" fontId="6" fillId="4" borderId="0" pivotButton="0" quotePrefix="0" xfId="0"/>
    <xf numFmtId="0" fontId="6" fillId="9" borderId="14" applyAlignment="1" pivotButton="0" quotePrefix="0" xfId="0">
      <alignment horizontal="center"/>
    </xf>
    <xf numFmtId="0" fontId="3" fillId="0" borderId="24" pivotButton="0" quotePrefix="0" xfId="0"/>
    <xf numFmtId="0" fontId="3" fillId="0" borderId="12" pivotButton="0" quotePrefix="0" xfId="0"/>
    <xf numFmtId="0" fontId="10" fillId="0" borderId="14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top" wrapText="1"/>
    </xf>
    <xf numFmtId="0" fontId="6" fillId="0" borderId="13" applyAlignment="1" pivotButton="0" quotePrefix="0" xfId="0">
      <alignment wrapText="1"/>
    </xf>
    <xf numFmtId="0" fontId="6" fillId="10" borderId="13" applyAlignment="1" pivotButton="0" quotePrefix="0" xfId="0">
      <alignment horizontal="center" vertical="center" wrapText="1"/>
    </xf>
    <xf numFmtId="0" fontId="6" fillId="11" borderId="13" applyAlignment="1" pivotButton="0" quotePrefix="0" xfId="0">
      <alignment horizontal="center" vertical="center" wrapText="1"/>
    </xf>
    <xf numFmtId="0" fontId="6" fillId="10" borderId="16" applyAlignment="1" pivotButton="0" quotePrefix="0" xfId="0">
      <alignment horizontal="center" vertical="center" wrapText="1"/>
    </xf>
    <xf numFmtId="0" fontId="3" fillId="0" borderId="8" pivotButton="0" quotePrefix="0" xfId="0"/>
    <xf numFmtId="0" fontId="6" fillId="0" borderId="0" applyAlignment="1" pivotButton="0" quotePrefix="0" xfId="0">
      <alignment horizontal="center" vertical="top"/>
    </xf>
    <xf numFmtId="164" fontId="4" fillId="12" borderId="13" applyAlignment="1" pivotButton="0" quotePrefix="0" xfId="0">
      <alignment horizontal="center" vertical="center"/>
    </xf>
    <xf numFmtId="164" fontId="4" fillId="12" borderId="14" applyAlignment="1" pivotButton="0" quotePrefix="0" xfId="0">
      <alignment horizontal="center" vertical="center"/>
    </xf>
    <xf numFmtId="0" fontId="3" fillId="0" borderId="12" pivotButton="0" quotePrefix="0" xfId="0"/>
    <xf numFmtId="0" fontId="4" fillId="7" borderId="13" applyAlignment="1" pivotButton="0" quotePrefix="0" xfId="0">
      <alignment horizontal="center" vertical="center"/>
    </xf>
    <xf numFmtId="0" fontId="12" fillId="13" borderId="26" applyAlignment="1" pivotButton="0" quotePrefix="0" xfId="0">
      <alignment horizontal="center" vertical="center" wrapText="1" readingOrder="1"/>
    </xf>
    <xf numFmtId="0" fontId="13" fillId="13" borderId="26" applyAlignment="1" pivotButton="0" quotePrefix="0" xfId="0">
      <alignment wrapText="1" readingOrder="1"/>
    </xf>
    <xf numFmtId="0" fontId="13" fillId="13" borderId="26" applyAlignment="1" pivotButton="0" quotePrefix="0" xfId="0">
      <alignment horizontal="center" vertical="center" wrapText="1" readingOrder="1"/>
    </xf>
    <xf numFmtId="0" fontId="13" fillId="13" borderId="26" applyAlignment="1" pivotButton="0" quotePrefix="0" xfId="0">
      <alignment horizontal="center" wrapText="1" readingOrder="1"/>
    </xf>
    <xf numFmtId="0" fontId="12" fillId="13" borderId="27" applyAlignment="1" pivotButton="0" quotePrefix="0" xfId="0">
      <alignment horizontal="center" vertical="center" wrapText="1" readingOrder="1"/>
    </xf>
    <xf numFmtId="0" fontId="13" fillId="13" borderId="27" applyAlignment="1" pivotButton="0" quotePrefix="0" xfId="0">
      <alignment wrapText="1" readingOrder="1"/>
    </xf>
    <xf numFmtId="0" fontId="13" fillId="13" borderId="27" applyAlignment="1" pivotButton="0" quotePrefix="0" xfId="0">
      <alignment horizontal="center" vertical="center" wrapText="1" readingOrder="1"/>
    </xf>
    <xf numFmtId="0" fontId="13" fillId="13" borderId="27" applyAlignment="1" pivotButton="0" quotePrefix="0" xfId="0">
      <alignment horizontal="center" wrapText="1" readingOrder="1"/>
    </xf>
    <xf numFmtId="0" fontId="12" fillId="14" borderId="27" applyAlignment="1" pivotButton="0" quotePrefix="0" xfId="0">
      <alignment horizontal="center" vertical="center" wrapText="1" readingOrder="1"/>
    </xf>
    <xf numFmtId="0" fontId="13" fillId="14" borderId="27" applyAlignment="1" pivotButton="0" quotePrefix="0" xfId="0">
      <alignment wrapText="1" readingOrder="1"/>
    </xf>
    <xf numFmtId="0" fontId="13" fillId="14" borderId="27" applyAlignment="1" pivotButton="0" quotePrefix="0" xfId="0">
      <alignment horizontal="center" vertical="center" wrapText="1" readingOrder="1"/>
    </xf>
    <xf numFmtId="0" fontId="13" fillId="14" borderId="27" applyAlignment="1" pivotButton="0" quotePrefix="0" xfId="0">
      <alignment horizontal="center" wrapText="1" readingOrder="1"/>
    </xf>
    <xf numFmtId="0" fontId="12" fillId="15" borderId="27" applyAlignment="1" pivotButton="0" quotePrefix="0" xfId="0">
      <alignment horizontal="center" vertical="center" wrapText="1" readingOrder="1"/>
    </xf>
    <xf numFmtId="0" fontId="13" fillId="15" borderId="27" applyAlignment="1" pivotButton="0" quotePrefix="0" xfId="0">
      <alignment wrapText="1" readingOrder="1"/>
    </xf>
    <xf numFmtId="0" fontId="13" fillId="15" borderId="27" applyAlignment="1" pivotButton="0" quotePrefix="0" xfId="0">
      <alignment horizontal="center" vertical="center" wrapText="1" readingOrder="1"/>
    </xf>
    <xf numFmtId="0" fontId="13" fillId="15" borderId="27" applyAlignment="1" pivotButton="0" quotePrefix="0" xfId="0">
      <alignment horizontal="center" wrapText="1" readingOrder="1"/>
    </xf>
    <xf numFmtId="0" fontId="12" fillId="16" borderId="27" applyAlignment="1" pivotButton="0" quotePrefix="0" xfId="0">
      <alignment horizontal="center" vertical="center" wrapText="1" readingOrder="1"/>
    </xf>
    <xf numFmtId="0" fontId="13" fillId="16" borderId="27" applyAlignment="1" pivotButton="0" quotePrefix="0" xfId="0">
      <alignment wrapText="1" readingOrder="1"/>
    </xf>
    <xf numFmtId="0" fontId="13" fillId="16" borderId="27" applyAlignment="1" pivotButton="0" quotePrefix="0" xfId="0">
      <alignment horizontal="center" vertical="center" wrapText="1" readingOrder="1"/>
    </xf>
    <xf numFmtId="0" fontId="13" fillId="16" borderId="27" applyAlignment="1" pivotButton="0" quotePrefix="0" xfId="0">
      <alignment horizontal="center" wrapText="1" readingOrder="1"/>
    </xf>
    <xf numFmtId="0" fontId="12" fillId="17" borderId="27" applyAlignment="1" pivotButton="0" quotePrefix="0" xfId="0">
      <alignment horizontal="center" vertical="center" wrapText="1" readingOrder="1"/>
    </xf>
    <xf numFmtId="0" fontId="13" fillId="17" borderId="27" applyAlignment="1" pivotButton="0" quotePrefix="0" xfId="0">
      <alignment wrapText="1" readingOrder="1"/>
    </xf>
    <xf numFmtId="0" fontId="13" fillId="17" borderId="27" applyAlignment="1" pivotButton="0" quotePrefix="0" xfId="0">
      <alignment horizontal="center" vertical="center" wrapText="1" readingOrder="1"/>
    </xf>
    <xf numFmtId="0" fontId="13" fillId="17" borderId="27" applyAlignment="1" pivotButton="0" quotePrefix="0" xfId="0">
      <alignment horizontal="center" wrapText="1" readingOrder="1"/>
    </xf>
    <xf numFmtId="0" fontId="12" fillId="18" borderId="27" applyAlignment="1" pivotButton="0" quotePrefix="0" xfId="0">
      <alignment horizontal="center" vertical="center" wrapText="1" readingOrder="1"/>
    </xf>
    <xf numFmtId="0" fontId="13" fillId="18" borderId="27" applyAlignment="1" pivotButton="0" quotePrefix="0" xfId="0">
      <alignment wrapText="1" readingOrder="1"/>
    </xf>
    <xf numFmtId="0" fontId="13" fillId="18" borderId="27" applyAlignment="1" pivotButton="0" quotePrefix="0" xfId="0">
      <alignment horizontal="center" vertical="center" wrapText="1" readingOrder="1"/>
    </xf>
    <xf numFmtId="0" fontId="13" fillId="18" borderId="27" applyAlignment="1" pivotButton="0" quotePrefix="0" xfId="0">
      <alignment horizontal="center" wrapText="1" readingOrder="1"/>
    </xf>
    <xf numFmtId="0" fontId="12" fillId="19" borderId="27" applyAlignment="1" pivotButton="0" quotePrefix="0" xfId="0">
      <alignment horizontal="center" vertical="center" wrapText="1" readingOrder="1"/>
    </xf>
    <xf numFmtId="0" fontId="13" fillId="19" borderId="27" applyAlignment="1" pivotButton="0" quotePrefix="0" xfId="0">
      <alignment wrapText="1" readingOrder="1"/>
    </xf>
    <xf numFmtId="0" fontId="13" fillId="19" borderId="27" applyAlignment="1" pivotButton="0" quotePrefix="0" xfId="0">
      <alignment horizontal="center" vertical="center" wrapText="1" readingOrder="1"/>
    </xf>
    <xf numFmtId="0" fontId="13" fillId="19" borderId="27" applyAlignment="1" pivotButton="0" quotePrefix="0" xfId="0">
      <alignment horizontal="center" wrapText="1" readingOrder="1"/>
    </xf>
    <xf numFmtId="0" fontId="12" fillId="20" borderId="27" applyAlignment="1" pivotButton="0" quotePrefix="0" xfId="0">
      <alignment horizontal="center" vertical="center" wrapText="1" readingOrder="1"/>
    </xf>
    <xf numFmtId="0" fontId="13" fillId="20" borderId="27" applyAlignment="1" pivotButton="0" quotePrefix="0" xfId="0">
      <alignment wrapText="1" readingOrder="1"/>
    </xf>
    <xf numFmtId="0" fontId="13" fillId="20" borderId="27" applyAlignment="1" pivotButton="0" quotePrefix="0" xfId="0">
      <alignment horizontal="center" vertical="center" wrapText="1" readingOrder="1"/>
    </xf>
    <xf numFmtId="0" fontId="13" fillId="20" borderId="27" applyAlignment="1" pivotButton="0" quotePrefix="0" xfId="0">
      <alignment horizontal="center" wrapText="1" readingOrder="1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6" fillId="0" borderId="0" applyAlignment="1" pivotButton="0" quotePrefix="0" xfId="0">
      <alignment horizontal="left"/>
    </xf>
    <xf numFmtId="0" fontId="15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6" fillId="0" borderId="0" applyAlignment="1" pivotButton="0" quotePrefix="0" xfId="0">
      <alignment horizontal="left"/>
    </xf>
    <xf numFmtId="0" fontId="39" fillId="52" borderId="49" applyAlignment="1" pivotButton="0" quotePrefix="0" xfId="0">
      <alignment horizontal="center" vertical="center" wrapText="1"/>
    </xf>
    <xf numFmtId="0" fontId="39" fillId="53" borderId="49" applyAlignment="1" pivotButton="0" quotePrefix="0" xfId="0">
      <alignment horizontal="center" vertical="center" wrapText="1"/>
    </xf>
    <xf numFmtId="0" fontId="40" fillId="54" borderId="49" applyAlignment="1" pivotButton="0" quotePrefix="0" xfId="0">
      <alignment horizontal="center" vertical="center" wrapText="1"/>
    </xf>
    <xf numFmtId="0" fontId="41" fillId="54" borderId="49" applyAlignment="1" pivotButton="0" quotePrefix="0" xfId="0">
      <alignment vertical="center" wrapText="1"/>
    </xf>
    <xf numFmtId="0" fontId="41" fillId="54" borderId="49" applyAlignment="1" pivotButton="0" quotePrefix="0" xfId="0">
      <alignment horizontal="center" vertical="center" wrapText="1"/>
    </xf>
    <xf numFmtId="167" fontId="41" fillId="54" borderId="49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8" pivotButton="0" quotePrefix="0" xfId="0"/>
    <xf numFmtId="0" fontId="40" fillId="55" borderId="49" applyAlignment="1" pivotButton="0" quotePrefix="0" xfId="0">
      <alignment horizontal="center" vertical="center" wrapText="1"/>
    </xf>
    <xf numFmtId="0" fontId="41" fillId="55" borderId="49" applyAlignment="1" pivotButton="0" quotePrefix="0" xfId="0">
      <alignment vertical="center" wrapText="1"/>
    </xf>
    <xf numFmtId="0" fontId="41" fillId="55" borderId="49" applyAlignment="1" pivotButton="0" quotePrefix="0" xfId="0">
      <alignment horizontal="center" vertical="center" wrapText="1"/>
    </xf>
    <xf numFmtId="167" fontId="41" fillId="55" borderId="49" applyAlignment="1" pivotButton="0" quotePrefix="0" xfId="0">
      <alignment horizontal="center" vertical="center" wrapText="1"/>
    </xf>
    <xf numFmtId="0" fontId="40" fillId="56" borderId="49" applyAlignment="1" pivotButton="0" quotePrefix="0" xfId="0">
      <alignment horizontal="center" vertical="center" wrapText="1"/>
    </xf>
    <xf numFmtId="0" fontId="41" fillId="56" borderId="49" applyAlignment="1" pivotButton="0" quotePrefix="0" xfId="0">
      <alignment vertical="center" wrapText="1"/>
    </xf>
    <xf numFmtId="0" fontId="41" fillId="56" borderId="49" applyAlignment="1" pivotButton="0" quotePrefix="0" xfId="0">
      <alignment horizontal="center" vertical="center" wrapText="1"/>
    </xf>
    <xf numFmtId="167" fontId="41" fillId="56" borderId="49" applyAlignment="1" pivotButton="0" quotePrefix="0" xfId="0">
      <alignment horizontal="center" vertical="center" wrapText="1"/>
    </xf>
    <xf numFmtId="0" fontId="40" fillId="57" borderId="49" applyAlignment="1" pivotButton="0" quotePrefix="0" xfId="0">
      <alignment horizontal="center" vertical="center" wrapText="1"/>
    </xf>
    <xf numFmtId="0" fontId="41" fillId="57" borderId="49" applyAlignment="1" pivotButton="0" quotePrefix="0" xfId="0">
      <alignment vertical="center" wrapText="1"/>
    </xf>
    <xf numFmtId="0" fontId="41" fillId="57" borderId="49" applyAlignment="1" pivotButton="0" quotePrefix="0" xfId="0">
      <alignment horizontal="center" vertical="center" wrapText="1"/>
    </xf>
    <xf numFmtId="167" fontId="41" fillId="57" borderId="49" applyAlignment="1" pivotButton="0" quotePrefix="0" xfId="0">
      <alignment horizontal="center" vertical="center" wrapText="1"/>
    </xf>
    <xf numFmtId="0" fontId="40" fillId="58" borderId="49" applyAlignment="1" pivotButton="0" quotePrefix="0" xfId="0">
      <alignment horizontal="center" vertical="center" wrapText="1"/>
    </xf>
    <xf numFmtId="0" fontId="41" fillId="58" borderId="49" applyAlignment="1" pivotButton="0" quotePrefix="0" xfId="0">
      <alignment vertical="center" wrapText="1"/>
    </xf>
    <xf numFmtId="0" fontId="41" fillId="58" borderId="49" applyAlignment="1" pivotButton="0" quotePrefix="0" xfId="0">
      <alignment horizontal="center" vertical="center" wrapText="1"/>
    </xf>
    <xf numFmtId="167" fontId="41" fillId="58" borderId="49" applyAlignment="1" pivotButton="0" quotePrefix="0" xfId="0">
      <alignment horizontal="center" vertical="center" wrapText="1"/>
    </xf>
    <xf numFmtId="0" fontId="40" fillId="59" borderId="49" applyAlignment="1" pivotButton="0" quotePrefix="0" xfId="0">
      <alignment horizontal="center" vertical="center" wrapText="1"/>
    </xf>
    <xf numFmtId="0" fontId="41" fillId="59" borderId="49" applyAlignment="1" pivotButton="0" quotePrefix="0" xfId="0">
      <alignment vertical="center" wrapText="1"/>
    </xf>
    <xf numFmtId="0" fontId="41" fillId="59" borderId="49" applyAlignment="1" pivotButton="0" quotePrefix="0" xfId="0">
      <alignment horizontal="center" vertical="center" wrapText="1"/>
    </xf>
    <xf numFmtId="167" fontId="41" fillId="59" borderId="49" applyAlignment="1" pivotButton="0" quotePrefix="0" xfId="0">
      <alignment horizontal="center" vertical="center" wrapText="1"/>
    </xf>
    <xf numFmtId="0" fontId="40" fillId="60" borderId="49" applyAlignment="1" pivotButton="0" quotePrefix="0" xfId="0">
      <alignment horizontal="center" vertical="center" wrapText="1"/>
    </xf>
    <xf numFmtId="0" fontId="41" fillId="60" borderId="49" applyAlignment="1" pivotButton="0" quotePrefix="0" xfId="0">
      <alignment vertical="center" wrapText="1"/>
    </xf>
    <xf numFmtId="0" fontId="41" fillId="60" borderId="49" applyAlignment="1" pivotButton="0" quotePrefix="0" xfId="0">
      <alignment horizontal="center" vertical="center" wrapText="1"/>
    </xf>
    <xf numFmtId="167" fontId="41" fillId="60" borderId="49" applyAlignment="1" pivotButton="0" quotePrefix="0" xfId="0">
      <alignment horizontal="center" vertical="center" wrapText="1"/>
    </xf>
    <xf numFmtId="0" fontId="40" fillId="61" borderId="49" applyAlignment="1" pivotButton="0" quotePrefix="0" xfId="0">
      <alignment horizontal="center" vertical="center" wrapText="1"/>
    </xf>
    <xf numFmtId="0" fontId="41" fillId="61" borderId="49" applyAlignment="1" pivotButton="0" quotePrefix="0" xfId="0">
      <alignment vertical="center" wrapText="1"/>
    </xf>
    <xf numFmtId="0" fontId="41" fillId="61" borderId="49" applyAlignment="1" pivotButton="0" quotePrefix="0" xfId="0">
      <alignment horizontal="center" vertical="center" wrapText="1"/>
    </xf>
    <xf numFmtId="167" fontId="41" fillId="61" borderId="49" applyAlignment="1" pivotButton="0" quotePrefix="0" xfId="0">
      <alignment horizontal="center" vertical="center" wrapText="1"/>
    </xf>
    <xf numFmtId="0" fontId="40" fillId="62" borderId="49" applyAlignment="1" pivotButton="0" quotePrefix="0" xfId="0">
      <alignment horizontal="center" vertical="center" wrapText="1"/>
    </xf>
    <xf numFmtId="0" fontId="41" fillId="62" borderId="49" applyAlignment="1" pivotButton="0" quotePrefix="0" xfId="0">
      <alignment vertical="center" wrapText="1"/>
    </xf>
    <xf numFmtId="0" fontId="41" fillId="62" borderId="49" applyAlignment="1" pivotButton="0" quotePrefix="0" xfId="0">
      <alignment horizontal="center" vertical="center" wrapText="1"/>
    </xf>
    <xf numFmtId="167" fontId="41" fillId="62" borderId="49" applyAlignment="1" pivotButton="0" quotePrefix="0" xfId="0">
      <alignment horizontal="center" vertical="center" wrapText="1"/>
    </xf>
    <xf numFmtId="0" fontId="40" fillId="63" borderId="49" applyAlignment="1" pivotButton="0" quotePrefix="0" xfId="0">
      <alignment horizontal="center" vertical="center" wrapText="1"/>
    </xf>
    <xf numFmtId="0" fontId="41" fillId="63" borderId="49" applyAlignment="1" pivotButton="0" quotePrefix="0" xfId="0">
      <alignment vertical="center" wrapText="1"/>
    </xf>
    <xf numFmtId="0" fontId="41" fillId="63" borderId="49" applyAlignment="1" pivotButton="0" quotePrefix="0" xfId="0">
      <alignment horizontal="center" vertical="center" wrapText="1"/>
    </xf>
    <xf numFmtId="167" fontId="41" fillId="63" borderId="49" applyAlignment="1" pivotButton="0" quotePrefix="0" xfId="0">
      <alignment horizontal="center" vertical="center" wrapText="1"/>
    </xf>
    <xf numFmtId="0" fontId="40" fillId="64" borderId="49" applyAlignment="1" pivotButton="0" quotePrefix="0" xfId="0">
      <alignment horizontal="center" vertical="center" wrapText="1"/>
    </xf>
    <xf numFmtId="0" fontId="41" fillId="64" borderId="49" applyAlignment="1" pivotButton="0" quotePrefix="0" xfId="0">
      <alignment vertical="center" wrapText="1"/>
    </xf>
    <xf numFmtId="0" fontId="41" fillId="64" borderId="49" applyAlignment="1" pivotButton="0" quotePrefix="0" xfId="0">
      <alignment horizontal="center" vertical="center" wrapText="1"/>
    </xf>
    <xf numFmtId="167" fontId="41" fillId="64" borderId="49" applyAlignment="1" pivotButton="0" quotePrefix="0" xfId="0">
      <alignment horizontal="center" vertical="center" wrapText="1"/>
    </xf>
    <xf numFmtId="0" fontId="39" fillId="53" borderId="49" applyAlignment="1" pivotButton="0" quotePrefix="0" xfId="0">
      <alignment horizontal="right" vertical="center"/>
    </xf>
    <xf numFmtId="0" fontId="0" fillId="53" borderId="49" pivotButton="0" quotePrefix="0" xfId="0"/>
    <xf numFmtId="167" fontId="39" fillId="53" borderId="49" applyAlignment="1" pivotButton="0" quotePrefix="0" xfId="0">
      <alignment horizontal="center" vertical="center" wrapText="1"/>
    </xf>
    <xf numFmtId="0" fontId="42" fillId="65" borderId="49" applyAlignment="1" pivotButton="0" quotePrefix="0" xfId="0">
      <alignment horizontal="center"/>
    </xf>
    <xf numFmtId="0" fontId="42" fillId="65" borderId="49" pivotButton="0" quotePrefix="0" xfId="0"/>
    <xf numFmtId="0" fontId="43" fillId="0" borderId="49" applyAlignment="1" pivotButton="0" quotePrefix="0" xfId="0">
      <alignment horizontal="center" vertical="center"/>
    </xf>
    <xf numFmtId="0" fontId="43" fillId="0" borderId="49" pivotButton="0" quotePrefix="0" xfId="0"/>
    <xf numFmtId="0" fontId="42" fillId="0" borderId="49" applyAlignment="1" pivotButton="0" quotePrefix="0" xfId="0">
      <alignment horizontal="center" vertical="center" wrapText="1"/>
    </xf>
    <xf numFmtId="0" fontId="42" fillId="0" borderId="49" applyAlignment="1" pivotButton="0" quotePrefix="0" xfId="0">
      <alignment vertical="center" wrapText="1"/>
    </xf>
    <xf numFmtId="0" fontId="42" fillId="66" borderId="49" applyAlignment="1" pivotButton="0" quotePrefix="0" xfId="0">
      <alignment horizontal="center" vertical="center" wrapText="1"/>
    </xf>
    <xf numFmtId="0" fontId="42" fillId="67" borderId="49" applyAlignment="1" pivotButton="0" quotePrefix="0" xfId="0">
      <alignment horizontal="center" vertical="center" wrapText="1"/>
    </xf>
    <xf numFmtId="0" fontId="44" fillId="0" borderId="49" applyAlignment="1" pivotButton="0" quotePrefix="0" xfId="0">
      <alignment horizontal="center" vertical="center" wrapText="1"/>
    </xf>
    <xf numFmtId="0" fontId="45" fillId="68" borderId="50" applyAlignment="1" pivotButton="0" quotePrefix="0" xfId="0">
      <alignment horizontal="center" vertical="center" wrapText="1"/>
    </xf>
    <xf numFmtId="0" fontId="46" fillId="69" borderId="50" applyAlignment="1" pivotButton="0" quotePrefix="0" xfId="0">
      <alignment horizontal="center" vertical="center" wrapText="1"/>
    </xf>
    <xf numFmtId="0" fontId="47" fillId="70" borderId="49" applyAlignment="1" pivotButton="0" quotePrefix="0" xfId="0">
      <alignment horizontal="center" vertical="bottom" textRotation="90"/>
    </xf>
    <xf numFmtId="0" fontId="44" fillId="70" borderId="49" applyAlignment="1" pivotButton="0" quotePrefix="0" xfId="0">
      <alignment horizontal="center" vertical="bottom" textRotation="90"/>
    </xf>
    <xf numFmtId="0" fontId="47" fillId="53" borderId="49" applyAlignment="1" pivotButton="0" quotePrefix="0" xfId="0">
      <alignment horizontal="center" vertical="bottom" textRotation="90"/>
    </xf>
    <xf numFmtId="0" fontId="45" fillId="68" borderId="51" applyAlignment="1" pivotButton="0" quotePrefix="0" xfId="0">
      <alignment horizontal="center" vertical="center" textRotation="90" wrapText="1"/>
    </xf>
    <xf numFmtId="0" fontId="47" fillId="70" borderId="49" applyAlignment="1" pivotButton="0" quotePrefix="0" xfId="0">
      <alignment horizontal="center" vertical="center"/>
    </xf>
    <xf numFmtId="0" fontId="48" fillId="0" borderId="49" applyAlignment="1" pivotButton="0" quotePrefix="0" xfId="0">
      <alignment horizontal="center" vertical="center" wrapText="1"/>
    </xf>
    <xf numFmtId="0" fontId="49" fillId="71" borderId="49" applyAlignment="1" pivotButton="0" quotePrefix="0" xfId="0">
      <alignment horizontal="center" vertical="center" wrapText="1"/>
    </xf>
    <xf numFmtId="0" fontId="44" fillId="70" borderId="49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71" borderId="49" pivotButton="0" quotePrefix="0" xfId="0"/>
    <xf numFmtId="0" fontId="50" fillId="0" borderId="0" applyAlignment="1" pivotButton="0" quotePrefix="0" xfId="0">
      <alignment vertical="top" wrapText="1"/>
    </xf>
    <xf numFmtId="0" fontId="0" fillId="52" borderId="49" pivotButton="0" quotePrefix="0" xfId="0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8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  <color rgb="FF9C0006"/>
      </font>
      <fill>
        <patternFill patternType="solid">
          <fgColor rgb="FFFFC7CE"/>
        </patternFill>
      </fill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.6" customWidth="1" min="1" max="1"/>
    <col width="34" customWidth="1" min="2" max="2"/>
    <col width="12.1" customWidth="1" min="3" max="3"/>
    <col width="70.09999999999999" customWidth="1" min="4" max="4"/>
    <col width="16" customWidth="1" min="5" max="5"/>
    <col width="14" customWidth="1" min="6" max="6"/>
    <col width="11" customWidth="1" min="7" max="7"/>
    <col width="62" customWidth="1" min="8" max="8"/>
    <col width="9.4" customWidth="1" min="9" max="9"/>
    <col width="46" customWidth="1" min="10" max="10"/>
    <col width="22" customWidth="1" min="11" max="11"/>
    <col width="14" customWidth="1" min="12" max="12"/>
    <col width="15" customWidth="1" min="13" max="13"/>
  </cols>
  <sheetData>
    <row r="1" ht="21" customHeight="1">
      <c r="A1" s="115" t="inlineStr">
        <is>
          <t>MATRIZ DE REQUISITOS — D&amp;D TEXTIL</t>
        </is>
      </c>
      <c r="B1" s="115" t="n"/>
      <c r="C1" s="115" t="inlineStr">
        <is>
          <t>REQUISITO FUNCIONAL</t>
        </is>
      </c>
      <c r="D1" s="115" t="n"/>
      <c r="E1" s="115" t="inlineStr">
        <is>
          <t>ESTIMACIÓN</t>
        </is>
      </c>
      <c r="F1" s="115" t="n"/>
      <c r="G1" s="115" t="inlineStr">
        <is>
          <t>REGLAS DEL NEGOCIO</t>
        </is>
      </c>
      <c r="H1" s="115" t="n"/>
      <c r="I1" s="115" t="inlineStr">
        <is>
          <t>REQUISITOS DE INFORMACIÓN</t>
        </is>
      </c>
      <c r="J1" s="115" t="n"/>
      <c r="K1" s="115" t="inlineStr">
        <is>
          <t>SEGUIMIENTO</t>
        </is>
      </c>
      <c r="L1" s="115" t="n"/>
      <c r="M1" s="115" t="n"/>
    </row>
    <row r="2" ht="31.5" customHeight="1">
      <c r="A2" s="116" t="inlineStr">
        <is>
          <t>Módulo</t>
        </is>
      </c>
      <c r="B2" s="116" t="inlineStr">
        <is>
          <t>Subproceso</t>
        </is>
      </c>
      <c r="C2" s="116" t="inlineStr">
        <is>
          <t>Código RF</t>
        </is>
      </c>
      <c r="D2" s="116" t="inlineStr">
        <is>
          <t>Requisito Funcional</t>
        </is>
      </c>
      <c r="E2" s="116" t="inlineStr">
        <is>
          <t>Medición de complejidad</t>
        </is>
      </c>
      <c r="F2" s="116" t="inlineStr">
        <is>
          <t>Tiempo de desarrollo (h)</t>
        </is>
      </c>
      <c r="G2" s="116" t="inlineStr">
        <is>
          <t>Nro.</t>
        </is>
      </c>
      <c r="H2" s="116" t="inlineStr">
        <is>
          <t>Descripción</t>
        </is>
      </c>
      <c r="I2" s="116" t="inlineStr">
        <is>
          <t>Nro.</t>
        </is>
      </c>
      <c r="J2" s="116" t="inlineStr">
        <is>
          <t>Descripción</t>
        </is>
      </c>
      <c r="K2" s="116" t="inlineStr">
        <is>
          <t>Actor</t>
        </is>
      </c>
      <c r="L2" s="116" t="inlineStr">
        <is>
          <t>Prioridad</t>
        </is>
      </c>
      <c r="M2" s="116" t="inlineStr">
        <is>
          <t>Caso de uso</t>
        </is>
      </c>
    </row>
    <row r="3" ht="65" customHeight="1">
      <c r="A3" s="117" t="inlineStr">
        <is>
          <t>M1. Acceso y Perfil</t>
        </is>
      </c>
      <c r="B3" s="117" t="inlineStr">
        <is>
          <t>P1. Autenticación y Cifrado</t>
        </is>
      </c>
      <c r="C3" s="118" t="inlineStr">
        <is>
          <t>RF-01</t>
        </is>
      </c>
      <c r="D3" s="118" t="inlineStr">
        <is>
          <t>Registro de clientes mediante formulario web con validación de campos.</t>
        </is>
      </c>
      <c r="E3" s="119" t="inlineStr">
        <is>
          <t>Media</t>
        </is>
      </c>
      <c r="F3" s="120" t="n">
        <v>8</v>
      </c>
      <c r="G3" s="119" t="inlineStr">
        <is>
          <t>RN-01</t>
        </is>
      </c>
      <c r="H3" s="118" t="inlineStr">
        <is>
          <t>Correo único. Contraseña de mínimo 8 caracteres. Nombre de mínimo 2 caracteres. El rol asignado es siempre «cliente».</t>
        </is>
      </c>
      <c r="I3" s="119" t="inlineStr">
        <is>
          <t>RI-01</t>
        </is>
      </c>
      <c r="J3" s="118" t="inlineStr">
        <is>
          <t>Nombre, correo, teléfono, contraseña.</t>
        </is>
      </c>
      <c r="K3" s="118" t="inlineStr">
        <is>
          <t>Visitante</t>
        </is>
      </c>
      <c r="L3" s="119" t="inlineStr">
        <is>
          <t>Alta</t>
        </is>
      </c>
      <c r="M3" s="119" t="inlineStr">
        <is>
          <t>CU-03</t>
        </is>
      </c>
    </row>
    <row r="4" ht="65" customHeight="1">
      <c r="A4" s="121" t="n"/>
      <c r="B4" s="121" t="n"/>
      <c r="C4" s="118" t="inlineStr">
        <is>
          <t>RF-02</t>
        </is>
      </c>
      <c r="D4" s="118" t="inlineStr">
        <is>
          <t>Inicio de sesión con generación de token para mantener la sesión.</t>
        </is>
      </c>
      <c r="E4" s="119" t="inlineStr">
        <is>
          <t>Media</t>
        </is>
      </c>
      <c r="F4" s="120" t="n">
        <v>10</v>
      </c>
      <c r="G4" s="119" t="inlineStr">
        <is>
          <t>RN-02</t>
        </is>
      </c>
      <c r="H4" s="118" t="inlineStr">
        <is>
          <t>El hash SHA-256 de la contraseña debe coincidir con el guardado. La cuenta debe estar activa y no suspendida. El token vence a los 15 minutos.</t>
        </is>
      </c>
      <c r="I4" s="119" t="inlineStr">
        <is>
          <t>RI-02</t>
        </is>
      </c>
      <c r="J4" s="118" t="inlineStr">
        <is>
          <t>Correo, contraseña, token de sesión, rol.</t>
        </is>
      </c>
      <c r="K4" s="118" t="inlineStr">
        <is>
          <t>Visitante</t>
        </is>
      </c>
      <c r="L4" s="119" t="inlineStr">
        <is>
          <t>Alta</t>
        </is>
      </c>
      <c r="M4" s="119" t="inlineStr">
        <is>
          <t>CU-04</t>
        </is>
      </c>
    </row>
    <row r="5" ht="46" customHeight="1">
      <c r="A5" s="121" t="n"/>
      <c r="B5" s="122" t="n"/>
      <c r="C5" s="118" t="inlineStr">
        <is>
          <t>RF-56</t>
        </is>
      </c>
      <c r="D5" s="118" t="inlineStr">
        <is>
          <t>Autorización del tratamiento de datos personales en el registro (Ley 1581 de 2012).</t>
        </is>
      </c>
      <c r="E5" s="119" t="inlineStr">
        <is>
          <t>Baja</t>
        </is>
      </c>
      <c r="F5" s="120" t="n">
        <v>4</v>
      </c>
      <c r="G5" s="119" t="inlineStr">
        <is>
          <t>RN-56</t>
        </is>
      </c>
      <c r="H5" s="118" t="inlineStr">
        <is>
          <t>Sin la aceptación expresa no se crea la cuenta. Se guarda la fecha de aceptación.</t>
        </is>
      </c>
      <c r="I5" s="119" t="inlineStr">
        <is>
          <t>RI-56</t>
        </is>
      </c>
      <c r="J5" s="118" t="inlineStr">
        <is>
          <t>Aceptación (sí/no), fecha de aceptación.</t>
        </is>
      </c>
      <c r="K5" s="118" t="inlineStr">
        <is>
          <t>Visitante</t>
        </is>
      </c>
      <c r="L5" s="119" t="inlineStr">
        <is>
          <t>Alta</t>
        </is>
      </c>
      <c r="M5" s="119" t="inlineStr">
        <is>
          <t>CU-03</t>
        </is>
      </c>
    </row>
    <row r="6" ht="65" customHeight="1">
      <c r="A6" s="121" t="n"/>
      <c r="B6" s="117" t="inlineStr">
        <is>
          <t>P2. Gestión de Identidad y Perfil</t>
        </is>
      </c>
      <c r="C6" s="118" t="inlineStr">
        <is>
          <t>RF-03</t>
        </is>
      </c>
      <c r="D6" s="118" t="inlineStr">
        <is>
          <t>Asignación de permisos según el rol del usuario (cliente, vendedor, administrador).</t>
        </is>
      </c>
      <c r="E6" s="119" t="inlineStr">
        <is>
          <t>Baja</t>
        </is>
      </c>
      <c r="F6" s="120" t="n">
        <v>4</v>
      </c>
      <c r="G6" s="119" t="inlineStr">
        <is>
          <t>RN-03</t>
        </is>
      </c>
      <c r="H6" s="118" t="inlineStr">
        <is>
          <t>El registro asigna siempre el rol «cliente». Solo el administrador puede cambiar un rol. La API valida el rol en cada petición.</t>
        </is>
      </c>
      <c r="I6" s="119" t="inlineStr">
        <is>
          <t>RI-03</t>
        </is>
      </c>
      <c r="J6" s="118" t="inlineStr">
        <is>
          <t>Rol, rutas permitidas por rol.</t>
        </is>
      </c>
      <c r="K6" s="118" t="inlineStr">
        <is>
          <t>Sistema</t>
        </is>
      </c>
      <c r="L6" s="119" t="inlineStr">
        <is>
          <t>Alta</t>
        </is>
      </c>
      <c r="M6" s="119" t="inlineStr">
        <is>
          <t>CU-04, CU-18</t>
        </is>
      </c>
    </row>
    <row r="7" ht="65" customHeight="1">
      <c r="A7" s="122" t="n"/>
      <c r="B7" s="122" t="n"/>
      <c r="C7" s="118" t="inlineStr">
        <is>
          <t>RF-04</t>
        </is>
      </c>
      <c r="D7" s="118" t="inlineStr">
        <is>
          <t>Actualización de datos de contacto y contraseña del usuario.</t>
        </is>
      </c>
      <c r="E7" s="119" t="inlineStr">
        <is>
          <t>Baja</t>
        </is>
      </c>
      <c r="F7" s="120" t="n">
        <v>6</v>
      </c>
      <c r="G7" s="119" t="inlineStr">
        <is>
          <t>RN-04</t>
        </is>
      </c>
      <c r="H7" s="118" t="inlineStr">
        <is>
          <t>El correo no se puede cambiar después del registro. La nueva contraseña cumple RN-01 y exige la contraseña actual.</t>
        </is>
      </c>
      <c r="I7" s="119" t="inlineStr">
        <is>
          <t>RI-04</t>
        </is>
      </c>
      <c r="J7" s="118" t="inlineStr">
        <is>
          <t>Nombre, teléfono, contraseña actual, contraseña nueva.</t>
        </is>
      </c>
      <c r="K7" s="118" t="inlineStr">
        <is>
          <t>Cliente, Vendedor</t>
        </is>
      </c>
      <c r="L7" s="119" t="inlineStr">
        <is>
          <t>Media</t>
        </is>
      </c>
      <c r="M7" s="119" t="inlineStr">
        <is>
          <t>CU-12</t>
        </is>
      </c>
    </row>
    <row r="8" ht="65" customHeight="1">
      <c r="A8" s="123" t="inlineStr">
        <is>
          <t>M2. Catálogo de Productos</t>
        </is>
      </c>
      <c r="B8" s="123" t="inlineStr">
        <is>
          <t>P3. Curaduría de Fichas Textiles</t>
        </is>
      </c>
      <c r="C8" s="124" t="inlineStr">
        <is>
          <t>RF-05</t>
        </is>
      </c>
      <c r="D8" s="124" t="inlineStr">
        <is>
          <t>Creación de productos por parte de vendedores con carga de metadatos.</t>
        </is>
      </c>
      <c r="E8" s="125" t="inlineStr">
        <is>
          <t>Media</t>
        </is>
      </c>
      <c r="F8" s="126" t="n">
        <v>10</v>
      </c>
      <c r="G8" s="125" t="inlineStr">
        <is>
          <t>RN-05</t>
        </is>
      </c>
      <c r="H8" s="124" t="inlineStr">
        <is>
          <t>Stock inicial ≥ 0. Precio &gt; 0. El producto queda en estado «pendiente» hasta que el administrador lo apruebe.</t>
        </is>
      </c>
      <c r="I8" s="125" t="inlineStr">
        <is>
          <t>RI-05</t>
        </is>
      </c>
      <c r="J8" s="124" t="inlineStr">
        <is>
          <t>Nombre, categoría, precio por metro, stock (m), material, ancho, peso, cuidados, imágenes.</t>
        </is>
      </c>
      <c r="K8" s="124" t="inlineStr">
        <is>
          <t>Vendedor</t>
        </is>
      </c>
      <c r="L8" s="125" t="inlineStr">
        <is>
          <t>Alta</t>
        </is>
      </c>
      <c r="M8" s="125" t="inlineStr">
        <is>
          <t>CU-15</t>
        </is>
      </c>
    </row>
    <row r="9" ht="46" customHeight="1">
      <c r="A9" s="121" t="n"/>
      <c r="B9" s="121" t="n"/>
      <c r="C9" s="124" t="inlineStr">
        <is>
          <t>RF-06</t>
        </is>
      </c>
      <c r="D9" s="124" t="inlineStr">
        <is>
          <t>Modificación de atributos de telas (precio, descripción, stock, imagen).</t>
        </is>
      </c>
      <c r="E9" s="125" t="inlineStr">
        <is>
          <t>Baja</t>
        </is>
      </c>
      <c r="F9" s="126" t="n">
        <v>6</v>
      </c>
      <c r="G9" s="125" t="inlineStr">
        <is>
          <t>RN-06</t>
        </is>
      </c>
      <c r="H9" s="124" t="inlineStr">
        <is>
          <t>Solo el vendedor dueño o el administrador pueden editar.</t>
        </is>
      </c>
      <c r="I9" s="125" t="inlineStr">
        <is>
          <t>RI-06</t>
        </is>
      </c>
      <c r="J9" s="124" t="inlineStr">
        <is>
          <t>Campos modificables del producto.</t>
        </is>
      </c>
      <c r="K9" s="124" t="inlineStr">
        <is>
          <t>Vendedor, Administrador</t>
        </is>
      </c>
      <c r="L9" s="125" t="inlineStr">
        <is>
          <t>Alta</t>
        </is>
      </c>
      <c r="M9" s="125" t="inlineStr">
        <is>
          <t>CU-15, CU-21</t>
        </is>
      </c>
    </row>
    <row r="10" ht="46" customHeight="1">
      <c r="A10" s="121" t="n"/>
      <c r="B10" s="122" t="n"/>
      <c r="C10" s="124" t="inlineStr">
        <is>
          <t>RF-07</t>
        </is>
      </c>
      <c r="D10" s="124" t="inlineStr">
        <is>
          <t>Borrado lógico (activar/desactivar) de productos del catálogo.</t>
        </is>
      </c>
      <c r="E10" s="125" t="inlineStr">
        <is>
          <t>Baja</t>
        </is>
      </c>
      <c r="F10" s="126" t="n">
        <v>4</v>
      </c>
      <c r="G10" s="125" t="inlineStr">
        <is>
          <t>RN-07</t>
        </is>
      </c>
      <c r="H10" s="124" t="inlineStr">
        <is>
          <t>Un producto desactivado no se borra de la base de datos, solo se oculta del catálogo.</t>
        </is>
      </c>
      <c r="I10" s="125" t="inlineStr">
        <is>
          <t>RI-07</t>
        </is>
      </c>
      <c r="J10" s="124" t="inlineStr">
        <is>
          <t>activo (verdadero/falso).</t>
        </is>
      </c>
      <c r="K10" s="124" t="inlineStr">
        <is>
          <t>Vendedor, Administrador</t>
        </is>
      </c>
      <c r="L10" s="125" t="inlineStr">
        <is>
          <t>Media</t>
        </is>
      </c>
      <c r="M10" s="125" t="inlineStr">
        <is>
          <t>CU-15, CU-21</t>
        </is>
      </c>
    </row>
    <row r="11" ht="46" customHeight="1">
      <c r="A11" s="121" t="n"/>
      <c r="B11" s="123" t="inlineStr">
        <is>
          <t>P4. Consulta del Catálogo</t>
        </is>
      </c>
      <c r="C11" s="124" t="inlineStr">
        <is>
          <t>RF-08</t>
        </is>
      </c>
      <c r="D11" s="124" t="inlineStr">
        <is>
          <t>Visualización del catálogo con filtros por apartado, proyecto, precio y orden.</t>
        </is>
      </c>
      <c r="E11" s="125" t="inlineStr">
        <is>
          <t>Alta</t>
        </is>
      </c>
      <c r="F11" s="126" t="n">
        <v>16</v>
      </c>
      <c r="G11" s="125" t="inlineStr">
        <is>
          <t>RN-08</t>
        </is>
      </c>
      <c r="H11" s="124" t="inlineStr">
        <is>
          <t>Mostrar solo productos con activo = verdadero, estado_moderacion = «approved» y stock &gt; 0.</t>
        </is>
      </c>
      <c r="I11" s="125" t="inlineStr">
        <is>
          <t>RI-08</t>
        </is>
      </c>
      <c r="J11" s="124" t="inlineStr">
        <is>
          <t>Lista de productos, categoría, rango de precio, criterio de orden.</t>
        </is>
      </c>
      <c r="K11" s="124" t="inlineStr">
        <is>
          <t>Visitante</t>
        </is>
      </c>
      <c r="L11" s="125" t="inlineStr">
        <is>
          <t>Alta</t>
        </is>
      </c>
      <c r="M11" s="125" t="inlineStr">
        <is>
          <t>CU-01</t>
        </is>
      </c>
    </row>
    <row r="12" ht="65" customHeight="1">
      <c r="A12" s="121" t="n"/>
      <c r="B12" s="121" t="n"/>
      <c r="C12" s="124" t="inlineStr">
        <is>
          <t>RF-09</t>
        </is>
      </c>
      <c r="D12" s="124" t="inlineStr">
        <is>
          <t>Vista detallada de la tela con especificaciones técnicas.</t>
        </is>
      </c>
      <c r="E12" s="125" t="inlineStr">
        <is>
          <t>Baja</t>
        </is>
      </c>
      <c r="F12" s="126" t="n">
        <v>6</v>
      </c>
      <c r="G12" s="125" t="inlineStr">
        <is>
          <t>RN-09</t>
        </is>
      </c>
      <c r="H12" s="124" t="inlineStr">
        <is>
          <t>Debe mostrar composición, ancho, peso, cuidados y stock disponible. No permite pedir más metros que el stock.</t>
        </is>
      </c>
      <c r="I12" s="125" t="inlineStr">
        <is>
          <t>RI-09</t>
        </is>
      </c>
      <c r="J12" s="124" t="inlineStr">
        <is>
          <t>Descripción, ficha técnica, imágenes, stock.</t>
        </is>
      </c>
      <c r="K12" s="124" t="inlineStr">
        <is>
          <t>Visitante</t>
        </is>
      </c>
      <c r="L12" s="125" t="inlineStr">
        <is>
          <t>Alta</t>
        </is>
      </c>
      <c r="M12" s="125" t="inlineStr">
        <is>
          <t>CU-02</t>
        </is>
      </c>
    </row>
    <row r="13" ht="65" customHeight="1">
      <c r="A13" s="121" t="n"/>
      <c r="B13" s="122" t="n"/>
      <c r="C13" s="124" t="inlineStr">
        <is>
          <t>RF-38</t>
        </is>
      </c>
      <c r="D13" s="124" t="inlineStr">
        <is>
          <t>Calificación de telas mediante reseñas de clientes.</t>
        </is>
      </c>
      <c r="E13" s="125" t="inlineStr">
        <is>
          <t>Media</t>
        </is>
      </c>
      <c r="F13" s="126" t="n">
        <v>8</v>
      </c>
      <c r="G13" s="125" t="inlineStr">
        <is>
          <t>RN-38</t>
        </is>
      </c>
      <c r="H13" s="124" t="inlineStr">
        <is>
          <t>Calificación de 1 a 5 estrellas y comentario obligatorio. Una reseña por usuario y producto. Requiere sesión iniciada.</t>
        </is>
      </c>
      <c r="I13" s="125" t="inlineStr">
        <is>
          <t>RI-38</t>
        </is>
      </c>
      <c r="J13" s="124" t="inlineStr">
        <is>
          <t>Producto, usuario, calificación, comentario, fecha.</t>
        </is>
      </c>
      <c r="K13" s="124" t="inlineStr">
        <is>
          <t>Cliente</t>
        </is>
      </c>
      <c r="L13" s="125" t="inlineStr">
        <is>
          <t>Media</t>
        </is>
      </c>
      <c r="M13" s="125" t="inlineStr">
        <is>
          <t>CU-02, CU-08</t>
        </is>
      </c>
    </row>
    <row r="14" ht="65" customHeight="1">
      <c r="A14" s="121" t="n"/>
      <c r="B14" s="123" t="inlineStr">
        <is>
          <t>P5. Herramientas del Cliente</t>
        </is>
      </c>
      <c r="C14" s="124" t="inlineStr">
        <is>
          <t>RF-48</t>
        </is>
      </c>
      <c r="D14" s="124" t="inlineStr">
        <is>
          <t>Calculadora de metraje según el tipo de proyecto.</t>
        </is>
      </c>
      <c r="E14" s="125" t="inlineStr">
        <is>
          <t>Media</t>
        </is>
      </c>
      <c r="F14" s="126" t="n">
        <v>10</v>
      </c>
      <c r="G14" s="125" t="inlineStr">
        <is>
          <t>RN-48</t>
        </is>
      </c>
      <c r="H14" s="124" t="inlineStr">
        <is>
          <t>Calcula los metros según el proyecto (falda, cortinas, mantel, cojines, vestido), el ancho de la tela y las medidas, con margen de confección.</t>
        </is>
      </c>
      <c r="I14" s="125" t="inlineStr">
        <is>
          <t>RI-48</t>
        </is>
      </c>
      <c r="J14" s="124" t="inlineStr">
        <is>
          <t>Tipo de proyecto, ancho de tela, medidas (cm), precio por metro.</t>
        </is>
      </c>
      <c r="K14" s="124" t="inlineStr">
        <is>
          <t>Cliente</t>
        </is>
      </c>
      <c r="L14" s="125" t="inlineStr">
        <is>
          <t>Baja</t>
        </is>
      </c>
      <c r="M14" s="125" t="inlineStr">
        <is>
          <t>CU-11</t>
        </is>
      </c>
    </row>
    <row r="15" ht="46" customHeight="1">
      <c r="A15" s="122" t="n"/>
      <c r="B15" s="122" t="n"/>
      <c r="C15" s="124" t="inlineStr">
        <is>
          <t>RF-49</t>
        </is>
      </c>
      <c r="D15" s="124" t="inlineStr">
        <is>
          <t>Lista de deseos con las telas favoritas del cliente.</t>
        </is>
      </c>
      <c r="E15" s="125" t="inlineStr">
        <is>
          <t>Baja</t>
        </is>
      </c>
      <c r="F15" s="126" t="n">
        <v>6</v>
      </c>
      <c r="G15" s="125" t="inlineStr">
        <is>
          <t>RN-49</t>
        </is>
      </c>
      <c r="H15" s="124" t="inlineStr">
        <is>
          <t>Se agregan o quitan telas desde la ficha. La lista se conserva entre sesiones.</t>
        </is>
      </c>
      <c r="I15" s="125" t="inlineStr">
        <is>
          <t>RI-49</t>
        </is>
      </c>
      <c r="J15" s="124" t="inlineStr">
        <is>
          <t>Usuario, producto, nota de proyecto.</t>
        </is>
      </c>
      <c r="K15" s="124" t="inlineStr">
        <is>
          <t>Cliente</t>
        </is>
      </c>
      <c r="L15" s="125" t="inlineStr">
        <is>
          <t>Baja</t>
        </is>
      </c>
      <c r="M15" s="125" t="inlineStr">
        <is>
          <t>CU-10</t>
        </is>
      </c>
    </row>
    <row r="16" ht="46" customHeight="1">
      <c r="A16" s="127" t="inlineStr">
        <is>
          <t>M3. Carrito de Compras</t>
        </is>
      </c>
      <c r="B16" s="127" t="inlineStr">
        <is>
          <t>P6. Gestión de Intención de Compra</t>
        </is>
      </c>
      <c r="C16" s="128" t="inlineStr">
        <is>
          <t>RF-10</t>
        </is>
      </c>
      <c r="D16" s="128" t="inlineStr">
        <is>
          <t>Adición de telas al carrito vinculadas al usuario.</t>
        </is>
      </c>
      <c r="E16" s="129" t="inlineStr">
        <is>
          <t>Media</t>
        </is>
      </c>
      <c r="F16" s="130" t="n">
        <v>8</v>
      </c>
      <c r="G16" s="129" t="inlineStr">
        <is>
          <t>RN-10</t>
        </is>
      </c>
      <c r="H16" s="128" t="inlineStr">
        <is>
          <t>La cantidad no puede superar el stock disponible.</t>
        </is>
      </c>
      <c r="I16" s="129" t="inlineStr">
        <is>
          <t>RI-10</t>
        </is>
      </c>
      <c r="J16" s="128" t="inlineStr">
        <is>
          <t>ID_Usuario, ID_Producto, cantidad (m).</t>
        </is>
      </c>
      <c r="K16" s="128" t="inlineStr">
        <is>
          <t>Visitante, Cliente</t>
        </is>
      </c>
      <c r="L16" s="129" t="inlineStr">
        <is>
          <t>Alta</t>
        </is>
      </c>
      <c r="M16" s="129" t="inlineStr">
        <is>
          <t>CU-05</t>
        </is>
      </c>
    </row>
    <row r="17" ht="65" customHeight="1">
      <c r="A17" s="121" t="n"/>
      <c r="B17" s="121" t="n"/>
      <c r="C17" s="128" t="inlineStr">
        <is>
          <t>RF-11</t>
        </is>
      </c>
      <c r="D17" s="128" t="inlineStr">
        <is>
          <t>Actualización de los metros de tela directamente en el carrito.</t>
        </is>
      </c>
      <c r="E17" s="129" t="inlineStr">
        <is>
          <t>Baja</t>
        </is>
      </c>
      <c r="F17" s="130" t="n">
        <v>4</v>
      </c>
      <c r="G17" s="129" t="inlineStr">
        <is>
          <t>RN-11</t>
        </is>
      </c>
      <c r="H17" s="128" t="inlineStr">
        <is>
          <t>Se aceptan metros con hasta 2 decimales (definir el mínimo, p. ej. 0,5 m). Se recalcula el subtotal y se valida el stock en el backend.</t>
        </is>
      </c>
      <c r="I17" s="129" t="inlineStr">
        <is>
          <t>RI-11</t>
        </is>
      </c>
      <c r="J17" s="128" t="inlineStr">
        <is>
          <t>Nueva cantidad (m), ID del ítem del carrito.</t>
        </is>
      </c>
      <c r="K17" s="128" t="inlineStr">
        <is>
          <t>Visitante, Cliente</t>
        </is>
      </c>
      <c r="L17" s="129" t="inlineStr">
        <is>
          <t>Alta</t>
        </is>
      </c>
      <c r="M17" s="129" t="inlineStr">
        <is>
          <t>CU-05</t>
        </is>
      </c>
    </row>
    <row r="18" ht="46" customHeight="1">
      <c r="A18" s="121" t="n"/>
      <c r="B18" s="122" t="n"/>
      <c r="C18" s="128" t="inlineStr">
        <is>
          <t>RF-12</t>
        </is>
      </c>
      <c r="D18" s="128" t="inlineStr">
        <is>
          <t>Eliminación de productos específicos o vaciado total del carrito.</t>
        </is>
      </c>
      <c r="E18" s="129" t="inlineStr">
        <is>
          <t>Baja</t>
        </is>
      </c>
      <c r="F18" s="130" t="n">
        <v>6</v>
      </c>
      <c r="G18" s="129" t="inlineStr">
        <is>
          <t>RN-12</t>
        </is>
      </c>
      <c r="H18" s="128" t="inlineStr">
        <is>
          <t>Si se elimina el último ítem, el carrito queda vacío y se ofrece volver al catálogo.</t>
        </is>
      </c>
      <c r="I18" s="129" t="inlineStr">
        <is>
          <t>RI-12</t>
        </is>
      </c>
      <c r="J18" s="128" t="inlineStr">
        <is>
          <t>ID del ítem a eliminar.</t>
        </is>
      </c>
      <c r="K18" s="128" t="inlineStr">
        <is>
          <t>Visitante, Cliente</t>
        </is>
      </c>
      <c r="L18" s="129" t="inlineStr">
        <is>
          <t>Media</t>
        </is>
      </c>
      <c r="M18" s="129" t="inlineStr">
        <is>
          <t>CU-05</t>
        </is>
      </c>
    </row>
    <row r="19" ht="84" customHeight="1">
      <c r="A19" s="121" t="n"/>
      <c r="B19" s="127" t="inlineStr">
        <is>
          <t>P7. Liquidación de Pre-venta</t>
        </is>
      </c>
      <c r="C19" s="128" t="inlineStr">
        <is>
          <t>RF-13</t>
        </is>
      </c>
      <c r="D19" s="128" t="inlineStr">
        <is>
          <t>Cálculo automático de subtotal, descuento, envío, impuestos y total.</t>
        </is>
      </c>
      <c r="E19" s="129" t="inlineStr">
        <is>
          <t>Media</t>
        </is>
      </c>
      <c r="F19" s="130" t="n">
        <v>12</v>
      </c>
      <c r="G19" s="129" t="inlineStr">
        <is>
          <t>RN-13</t>
        </is>
      </c>
      <c r="H19" s="128" t="inlineStr">
        <is>
          <t>Total = (subtotal − descuento del cupón) + envío + IVA 19 %. Envío de $15.000; gratis desde el valor configurado (definir uno solo). El backend recalcula el total.</t>
        </is>
      </c>
      <c r="I19" s="129" t="inlineStr">
        <is>
          <t>RI-13</t>
        </is>
      </c>
      <c r="J19" s="128" t="inlineStr">
        <is>
          <t>Subtotal, descuento, envío, IVA, total.</t>
        </is>
      </c>
      <c r="K19" s="128" t="inlineStr">
        <is>
          <t>Sistema</t>
        </is>
      </c>
      <c r="L19" s="129" t="inlineStr">
        <is>
          <t>Alta</t>
        </is>
      </c>
      <c r="M19" s="129" t="inlineStr">
        <is>
          <t>CU-05, CU-06</t>
        </is>
      </c>
    </row>
    <row r="20" ht="46" customHeight="1">
      <c r="A20" s="121" t="n"/>
      <c r="B20" s="121" t="n"/>
      <c r="C20" s="128" t="inlineStr">
        <is>
          <t>RF-14</t>
        </is>
      </c>
      <c r="D20" s="128" t="inlineStr">
        <is>
          <t>Persistencia del carrito entre sesiones en la base de datos.</t>
        </is>
      </c>
      <c r="E20" s="129" t="inlineStr">
        <is>
          <t>Baja</t>
        </is>
      </c>
      <c r="F20" s="130" t="n">
        <v>4</v>
      </c>
      <c r="G20" s="129" t="inlineStr">
        <is>
          <t>RN-14</t>
        </is>
      </c>
      <c r="H20" s="128" t="inlineStr">
        <is>
          <t>El carrito se recupera al volver a iniciar sesión, incluso desde otro equipo.</t>
        </is>
      </c>
      <c r="I20" s="129" t="inlineStr">
        <is>
          <t>RI-14</t>
        </is>
      </c>
      <c r="J20" s="128" t="inlineStr">
        <is>
          <t>ID_Usuario vinculado a los ítems del carrito.</t>
        </is>
      </c>
      <c r="K20" s="128" t="inlineStr">
        <is>
          <t>Cliente</t>
        </is>
      </c>
      <c r="L20" s="129" t="inlineStr">
        <is>
          <t>Media</t>
        </is>
      </c>
      <c r="M20" s="129" t="inlineStr">
        <is>
          <t>CU-05</t>
        </is>
      </c>
    </row>
    <row r="21" ht="65" customHeight="1">
      <c r="A21" s="122" t="n"/>
      <c r="B21" s="122" t="n"/>
      <c r="C21" s="128" t="inlineStr">
        <is>
          <t>RF-37</t>
        </is>
      </c>
      <c r="D21" s="128" t="inlineStr">
        <is>
          <t>Aplicación de cupones de descuento en el carrito.</t>
        </is>
      </c>
      <c r="E21" s="129" t="inlineStr">
        <is>
          <t>Media</t>
        </is>
      </c>
      <c r="F21" s="130" t="n">
        <v>6</v>
      </c>
      <c r="G21" s="129" t="inlineStr">
        <is>
          <t>RN-37</t>
        </is>
      </c>
      <c r="H21" s="128" t="inlineStr">
        <is>
          <t>El cupón debe estar activo y vigente, cumplir la compra mínima, no superar los usos máximos y, si aplica, ser la primera compra del cliente.</t>
        </is>
      </c>
      <c r="I21" s="129" t="inlineStr">
        <is>
          <t>RI-37</t>
        </is>
      </c>
      <c r="J21" s="128" t="inlineStr">
        <is>
          <t>Código del cupón, descuento calculado.</t>
        </is>
      </c>
      <c r="K21" s="128" t="inlineStr">
        <is>
          <t>Visitante, Cliente</t>
        </is>
      </c>
      <c r="L21" s="129" t="inlineStr">
        <is>
          <t>Media</t>
        </is>
      </c>
      <c r="M21" s="129" t="inlineStr">
        <is>
          <t>CU-05</t>
        </is>
      </c>
    </row>
    <row r="22" ht="46" customHeight="1">
      <c r="A22" s="131" t="inlineStr">
        <is>
          <t>M4. Checkout y Pagos</t>
        </is>
      </c>
      <c r="B22" s="131" t="inlineStr">
        <is>
          <t>P8. Orquestación Logística</t>
        </is>
      </c>
      <c r="C22" s="132" t="inlineStr">
        <is>
          <t>RF-15</t>
        </is>
      </c>
      <c r="D22" s="132" t="inlineStr">
        <is>
          <t>Captura de los datos de la persona que recibe el pedido.</t>
        </is>
      </c>
      <c r="E22" s="133" t="inlineStr">
        <is>
          <t>Media</t>
        </is>
      </c>
      <c r="F22" s="134" t="n">
        <v>8</v>
      </c>
      <c r="G22" s="133" t="inlineStr">
        <is>
          <t>RN-15</t>
        </is>
      </c>
      <c r="H22" s="132" t="inlineStr">
        <is>
          <t>Nombre, correo y teléfono son obligatorios. Los datos se guardan en el pedido.</t>
        </is>
      </c>
      <c r="I22" s="133" t="inlineStr">
        <is>
          <t>RI-15</t>
        </is>
      </c>
      <c r="J22" s="132" t="inlineStr">
        <is>
          <t>Nombre de contacto, correo, celular.</t>
        </is>
      </c>
      <c r="K22" s="132" t="inlineStr">
        <is>
          <t>Cliente</t>
        </is>
      </c>
      <c r="L22" s="133" t="inlineStr">
        <is>
          <t>Alta</t>
        </is>
      </c>
      <c r="M22" s="133" t="inlineStr">
        <is>
          <t>CU-06</t>
        </is>
      </c>
    </row>
    <row r="23" ht="65" customHeight="1">
      <c r="A23" s="121" t="n"/>
      <c r="B23" s="121" t="n"/>
      <c r="C23" s="132" t="inlineStr">
        <is>
          <t>RF-16</t>
        </is>
      </c>
      <c r="D23" s="132" t="inlineStr">
        <is>
          <t>Registro de la dirección física de entrega.</t>
        </is>
      </c>
      <c r="E23" s="133" t="inlineStr">
        <is>
          <t>Baja</t>
        </is>
      </c>
      <c r="F23" s="134" t="n">
        <v>6</v>
      </c>
      <c r="G23" s="133" t="inlineStr">
        <is>
          <t>RN-16</t>
        </is>
      </c>
      <c r="H23" s="132" t="inlineStr">
        <is>
          <t>Dirección, ciudad y departamento obligatorios. Si se define cobertura, la ciudad debe estar en la lista de cobertura.</t>
        </is>
      </c>
      <c r="I23" s="133" t="inlineStr">
        <is>
          <t>RI-16</t>
        </is>
      </c>
      <c r="J23" s="132" t="inlineStr">
        <is>
          <t>Dirección, ciudad, departamento, código postal, notas de entrega.</t>
        </is>
      </c>
      <c r="K23" s="132" t="inlineStr">
        <is>
          <t>Cliente</t>
        </is>
      </c>
      <c r="L23" s="133" t="inlineStr">
        <is>
          <t>Alta</t>
        </is>
      </c>
      <c r="M23" s="133" t="inlineStr">
        <is>
          <t>CU-06</t>
        </is>
      </c>
    </row>
    <row r="24" ht="46" customHeight="1">
      <c r="A24" s="121" t="n"/>
      <c r="B24" s="122" t="n"/>
      <c r="C24" s="132" t="inlineStr">
        <is>
          <t>RF-50</t>
        </is>
      </c>
      <c r="D24" s="132" t="inlineStr">
        <is>
          <t>Libreta de direcciones del cliente.</t>
        </is>
      </c>
      <c r="E24" s="133" t="inlineStr">
        <is>
          <t>Baja</t>
        </is>
      </c>
      <c r="F24" s="134" t="n">
        <v>6</v>
      </c>
      <c r="G24" s="133" t="inlineStr">
        <is>
          <t>RN-50</t>
        </is>
      </c>
      <c r="H24" s="132" t="inlineStr">
        <is>
          <t>El cliente puede guardar varias direcciones y marcar una como predeterminada.</t>
        </is>
      </c>
      <c r="I24" s="133" t="inlineStr">
        <is>
          <t>RI-50</t>
        </is>
      </c>
      <c r="J24" s="132" t="inlineStr">
        <is>
          <t>Alias, destinatario, teléfono, dirección, ciudad.</t>
        </is>
      </c>
      <c r="K24" s="132" t="inlineStr">
        <is>
          <t>Cliente</t>
        </is>
      </c>
      <c r="L24" s="133" t="inlineStr">
        <is>
          <t>Baja</t>
        </is>
      </c>
      <c r="M24" s="133" t="inlineStr">
        <is>
          <t>CU-12</t>
        </is>
      </c>
    </row>
    <row r="25" ht="65" customHeight="1">
      <c r="A25" s="121" t="n"/>
      <c r="B25" s="131" t="inlineStr">
        <is>
          <t>P9. Pasarela de Pago</t>
        </is>
      </c>
      <c r="C25" s="132" t="inlineStr">
        <is>
          <t>RF-17</t>
        </is>
      </c>
      <c r="D25" s="132" t="inlineStr">
        <is>
          <t>Validación de integridad de los datos antes de pasar al pago.</t>
        </is>
      </c>
      <c r="E25" s="133" t="inlineStr">
        <is>
          <t>Alta</t>
        </is>
      </c>
      <c r="F25" s="134" t="n">
        <v>20</v>
      </c>
      <c r="G25" s="133" t="inlineStr">
        <is>
          <t>RN-17</t>
        </is>
      </c>
      <c r="H25" s="132" t="inlineStr">
        <is>
          <t>Impedir el pago si hay campos vacíos o con formato inválido. Si el pago falla, se informa la causa al cliente.</t>
        </is>
      </c>
      <c r="I25" s="133" t="inlineStr">
        <is>
          <t>RI-17</t>
        </is>
      </c>
      <c r="J25" s="132" t="inlineStr">
        <is>
          <t>Mensajes de error de validación.</t>
        </is>
      </c>
      <c r="K25" s="132" t="inlineStr">
        <is>
          <t>Sistema</t>
        </is>
      </c>
      <c r="L25" s="133" t="inlineStr">
        <is>
          <t>Alta</t>
        </is>
      </c>
      <c r="M25" s="133" t="inlineStr">
        <is>
          <t>CU-06</t>
        </is>
      </c>
    </row>
    <row r="26" ht="46" customHeight="1">
      <c r="A26" s="121" t="n"/>
      <c r="B26" s="121" t="n"/>
      <c r="C26" s="132" t="inlineStr">
        <is>
          <t>RF-18</t>
        </is>
      </c>
      <c r="D26" s="132" t="inlineStr">
        <is>
          <t>Selección del medio de pago (tarjeta de crédito/débito o PSE).</t>
        </is>
      </c>
      <c r="E26" s="133" t="inlineStr">
        <is>
          <t>Alta</t>
        </is>
      </c>
      <c r="F26" s="134" t="n">
        <v>14</v>
      </c>
      <c r="G26" s="133" t="inlineStr">
        <is>
          <t>RN-18</t>
        </is>
      </c>
      <c r="H26" s="132" t="inlineStr">
        <is>
          <t>Si es PSE, se habilita la lista de bancos, el tipo de persona y el correo.</t>
        </is>
      </c>
      <c r="I26" s="133" t="inlineStr">
        <is>
          <t>RI-18</t>
        </is>
      </c>
      <c r="J26" s="132" t="inlineStr">
        <is>
          <t>Tipo de pago, entidad bancaria.</t>
        </is>
      </c>
      <c r="K26" s="132" t="inlineStr">
        <is>
          <t>Cliente</t>
        </is>
      </c>
      <c r="L26" s="133" t="inlineStr">
        <is>
          <t>Alta</t>
        </is>
      </c>
      <c r="M26" s="133" t="inlineStr">
        <is>
          <t>CU-06</t>
        </is>
      </c>
    </row>
    <row r="27" ht="65" customHeight="1">
      <c r="A27" s="121" t="n"/>
      <c r="B27" s="122" t="n"/>
      <c r="C27" s="132" t="inlineStr">
        <is>
          <t>RF-19</t>
        </is>
      </c>
      <c r="D27" s="132" t="inlineStr">
        <is>
          <t>Interfaz de captura de los datos de pago (simulada).</t>
        </is>
      </c>
      <c r="E27" s="133" t="inlineStr">
        <is>
          <t>Alta</t>
        </is>
      </c>
      <c r="F27" s="134" t="n">
        <v>18</v>
      </c>
      <c r="G27" s="133" t="inlineStr">
        <is>
          <t>RN-19</t>
        </is>
      </c>
      <c r="H27" s="132" t="inlineStr">
        <is>
          <t>Tarjeta de 16 dígitos, vencimiento MM/AA no vencido, CVV de 3 o 4 dígitos. No se guarda el número completo ni el CVV (PCI-DSS).</t>
        </is>
      </c>
      <c r="I27" s="133" t="inlineStr">
        <is>
          <t>RI-19</t>
        </is>
      </c>
      <c r="J27" s="132" t="inlineStr">
        <is>
          <t>Número enmascarado, titular, tipo y número de documento.</t>
        </is>
      </c>
      <c r="K27" s="132" t="inlineStr">
        <is>
          <t>Cliente</t>
        </is>
      </c>
      <c r="L27" s="133" t="inlineStr">
        <is>
          <t>Alta</t>
        </is>
      </c>
      <c r="M27" s="133" t="inlineStr">
        <is>
          <t>CU-06</t>
        </is>
      </c>
    </row>
    <row r="28" ht="65" customHeight="1">
      <c r="A28" s="121" t="n"/>
      <c r="B28" s="131" t="inlineStr">
        <is>
          <t>P10. Ejecución Transaccional</t>
        </is>
      </c>
      <c r="C28" s="132" t="inlineStr">
        <is>
          <t>RF-20</t>
        </is>
      </c>
      <c r="D28" s="132" t="inlineStr">
        <is>
          <t>Procesamiento y respuesta del simulador de pagos.</t>
        </is>
      </c>
      <c r="E28" s="133" t="inlineStr">
        <is>
          <t>Baja</t>
        </is>
      </c>
      <c r="F28" s="134" t="n">
        <v>6</v>
      </c>
      <c r="G28" s="133" t="inlineStr">
        <is>
          <t>RN-20</t>
        </is>
      </c>
      <c r="H28" s="132" t="inlineStr">
        <is>
          <t>Definir los casos de rechazo del simulador (p. ej. tarjeta terminada en 0000). Si el pago es rechazado, se notifica y no se crea el pedido.</t>
        </is>
      </c>
      <c r="I28" s="133" t="inlineStr">
        <is>
          <t>RI-20</t>
        </is>
      </c>
      <c r="J28" s="132" t="inlineStr">
        <is>
          <t>Estado de la transacción (aprobada/rechazada).</t>
        </is>
      </c>
      <c r="K28" s="132" t="inlineStr">
        <is>
          <t>Sistema</t>
        </is>
      </c>
      <c r="L28" s="133" t="inlineStr">
        <is>
          <t>Media</t>
        </is>
      </c>
      <c r="M28" s="133" t="inlineStr">
        <is>
          <t>CU-06</t>
        </is>
      </c>
    </row>
    <row r="29" ht="46" customHeight="1">
      <c r="A29" s="122" t="n"/>
      <c r="B29" s="122" t="n"/>
      <c r="C29" s="132" t="inlineStr">
        <is>
          <t>RF-21</t>
        </is>
      </c>
      <c r="D29" s="132" t="inlineStr">
        <is>
          <t>Registro del comprobante de pago en el sistema.</t>
        </is>
      </c>
      <c r="E29" s="133" t="inlineStr">
        <is>
          <t>Media</t>
        </is>
      </c>
      <c r="F29" s="134" t="n">
        <v>10</v>
      </c>
      <c r="G29" s="133" t="inlineStr">
        <is>
          <t>RN-21</t>
        </is>
      </c>
      <c r="H29" s="132" t="inlineStr">
        <is>
          <t>El ID de transacción debe ser único y verificable.</t>
        </is>
      </c>
      <c r="I29" s="133" t="inlineStr">
        <is>
          <t>RI-21</t>
        </is>
      </c>
      <c r="J29" s="132" t="inlineStr">
        <is>
          <t>Fecha, hora, monto, ID de pago, medio de pago.</t>
        </is>
      </c>
      <c r="K29" s="132" t="inlineStr">
        <is>
          <t>Sistema</t>
        </is>
      </c>
      <c r="L29" s="133" t="inlineStr">
        <is>
          <t>Media</t>
        </is>
      </c>
      <c r="M29" s="133" t="inlineStr">
        <is>
          <t>CU-06</t>
        </is>
      </c>
    </row>
    <row r="30" ht="65" customHeight="1">
      <c r="A30" s="135" t="inlineStr">
        <is>
          <t>M5. Pedidos y Facturación</t>
        </is>
      </c>
      <c r="B30" s="135" t="inlineStr">
        <is>
          <t>P11. Procesamiento de Pedidos</t>
        </is>
      </c>
      <c r="C30" s="136" t="inlineStr">
        <is>
          <t>RF-22</t>
        </is>
      </c>
      <c r="D30" s="136" t="inlineStr">
        <is>
          <t>Generación de la cabecera del pedido y número de seguimiento.</t>
        </is>
      </c>
      <c r="E30" s="137" t="inlineStr">
        <is>
          <t>Media</t>
        </is>
      </c>
      <c r="F30" s="138" t="n">
        <v>12</v>
      </c>
      <c r="G30" s="137" t="inlineStr">
        <is>
          <t>RN-22</t>
        </is>
      </c>
      <c r="H30" s="136" t="inlineStr">
        <is>
          <t>Estados: Pendiente → Pagado → Preparando → Enviado → Entregado, o Cancelado. El pedido nace «Pagado» tras un pago aprobado y se muestra la confirmación.</t>
        </is>
      </c>
      <c r="I30" s="137" t="inlineStr">
        <is>
          <t>RI-22</t>
        </is>
      </c>
      <c r="J30" s="136" t="inlineStr">
        <is>
          <t>ID del pedido, código de factura, estado, fecha.</t>
        </is>
      </c>
      <c r="K30" s="136" t="inlineStr">
        <is>
          <t>Sistema</t>
        </is>
      </c>
      <c r="L30" s="137" t="inlineStr">
        <is>
          <t>Alta</t>
        </is>
      </c>
      <c r="M30" s="137" t="inlineStr">
        <is>
          <t>CU-06</t>
        </is>
      </c>
    </row>
    <row r="31" ht="46" customHeight="1">
      <c r="A31" s="121" t="n"/>
      <c r="B31" s="121" t="n"/>
      <c r="C31" s="136" t="inlineStr">
        <is>
          <t>RF-23</t>
        </is>
      </c>
      <c r="D31" s="136" t="inlineStr">
        <is>
          <t>Registro del detalle del pedido (líneas) con precios congelados.</t>
        </is>
      </c>
      <c r="E31" s="137" t="inlineStr">
        <is>
          <t>Baja</t>
        </is>
      </c>
      <c r="F31" s="138" t="n">
        <v>6</v>
      </c>
      <c r="G31" s="137" t="inlineStr">
        <is>
          <t>RN-23</t>
        </is>
      </c>
      <c r="H31" s="136" t="inlineStr">
        <is>
          <t>Se guarda el precio por metro vigente al momento de la compra.</t>
        </is>
      </c>
      <c r="I31" s="137" t="inlineStr">
        <is>
          <t>RI-23</t>
        </is>
      </c>
      <c r="J31" s="136" t="inlineStr">
        <is>
          <t>ID_Producto, precio por metro, cantidad (m), subtotal.</t>
        </is>
      </c>
      <c r="K31" s="136" t="inlineStr">
        <is>
          <t>Sistema</t>
        </is>
      </c>
      <c r="L31" s="137" t="inlineStr">
        <is>
          <t>Alta</t>
        </is>
      </c>
      <c r="M31" s="137" t="inlineStr">
        <is>
          <t>CU-06</t>
        </is>
      </c>
    </row>
    <row r="32" ht="65" customHeight="1">
      <c r="A32" s="121" t="n"/>
      <c r="B32" s="122" t="n"/>
      <c r="C32" s="136" t="inlineStr">
        <is>
          <t>RF-24</t>
        </is>
      </c>
      <c r="D32" s="136" t="inlineStr">
        <is>
          <t>Disminución del inventario de metros de tela al comprar.</t>
        </is>
      </c>
      <c r="E32" s="137" t="inlineStr">
        <is>
          <t>Alta</t>
        </is>
      </c>
      <c r="F32" s="138" t="n">
        <v>16</v>
      </c>
      <c r="G32" s="137" t="inlineStr">
        <is>
          <t>RN-24</t>
        </is>
      </c>
      <c r="H32" s="136" t="inlineStr">
        <is>
          <t>stock_nuevo = stock_actual − cantidad, en la misma transacción y con bloqueo de la fila. Si algún producto no alcanza, se rechaza todo el pedido.</t>
        </is>
      </c>
      <c r="I32" s="137" t="inlineStr">
        <is>
          <t>RI-24</t>
        </is>
      </c>
      <c r="J32" s="136" t="inlineStr">
        <is>
          <t>Stock final = stock inicial − compra.</t>
        </is>
      </c>
      <c r="K32" s="136" t="inlineStr">
        <is>
          <t>Sistema</t>
        </is>
      </c>
      <c r="L32" s="137" t="inlineStr">
        <is>
          <t>Alta</t>
        </is>
      </c>
      <c r="M32" s="137" t="inlineStr">
        <is>
          <t>CU-06</t>
        </is>
      </c>
    </row>
    <row r="33" ht="46" customHeight="1">
      <c r="A33" s="121" t="n"/>
      <c r="B33" s="135" t="inlineStr">
        <is>
          <t>P12. Seguimiento y Facturación</t>
        </is>
      </c>
      <c r="C33" s="136" t="inlineStr">
        <is>
          <t>RF-25</t>
        </is>
      </c>
      <c r="D33" s="136" t="inlineStr">
        <is>
          <t>Consulta del historial de compras del cliente.</t>
        </is>
      </c>
      <c r="E33" s="137" t="inlineStr">
        <is>
          <t>Media</t>
        </is>
      </c>
      <c r="F33" s="138" t="n">
        <v>10</v>
      </c>
      <c r="G33" s="137" t="inlineStr">
        <is>
          <t>RN-25</t>
        </is>
      </c>
      <c r="H33" s="136" t="inlineStr">
        <is>
          <t>Solo se muestran los pedidos del usuario con sesión iniciada.</t>
        </is>
      </c>
      <c r="I33" s="137" t="inlineStr">
        <is>
          <t>RI-25</t>
        </is>
      </c>
      <c r="J33" s="136" t="inlineStr">
        <is>
          <t>Lista de pedidos por cliente.</t>
        </is>
      </c>
      <c r="K33" s="136" t="inlineStr">
        <is>
          <t>Cliente</t>
        </is>
      </c>
      <c r="L33" s="137" t="inlineStr">
        <is>
          <t>Alta</t>
        </is>
      </c>
      <c r="M33" s="137" t="inlineStr">
        <is>
          <t>CU-07</t>
        </is>
      </c>
    </row>
    <row r="34" ht="46" customHeight="1">
      <c r="A34" s="121" t="n"/>
      <c r="B34" s="121" t="n"/>
      <c r="C34" s="136" t="inlineStr">
        <is>
          <t>RF-51</t>
        </is>
      </c>
      <c r="D34" s="136" t="inlineStr">
        <is>
          <t>Rastreo del estado de un pedido.</t>
        </is>
      </c>
      <c r="E34" s="137" t="inlineStr">
        <is>
          <t>Baja</t>
        </is>
      </c>
      <c r="F34" s="138" t="n">
        <v>6</v>
      </c>
      <c r="G34" s="137" t="inlineStr">
        <is>
          <t>RN-51</t>
        </is>
      </c>
      <c r="H34" s="136" t="inlineStr">
        <is>
          <t>Se busca por número de pedido o de guía y se muestra la etapa actual.</t>
        </is>
      </c>
      <c r="I34" s="137" t="inlineStr">
        <is>
          <t>RI-51</t>
        </is>
      </c>
      <c r="J34" s="136" t="inlineStr">
        <is>
          <t>Número de pedido o de guía, estado, fechas.</t>
        </is>
      </c>
      <c r="K34" s="136" t="inlineStr">
        <is>
          <t>Cliente</t>
        </is>
      </c>
      <c r="L34" s="137" t="inlineStr">
        <is>
          <t>Media</t>
        </is>
      </c>
      <c r="M34" s="137" t="inlineStr">
        <is>
          <t>CU-07</t>
        </is>
      </c>
    </row>
    <row r="35" ht="46" customHeight="1">
      <c r="A35" s="122" t="n"/>
      <c r="B35" s="122" t="n"/>
      <c r="C35" s="136" t="inlineStr">
        <is>
          <t>RF-43</t>
        </is>
      </c>
      <c r="D35" s="136" t="inlineStr">
        <is>
          <t>Generación de la factura en PDF de cada pedido.</t>
        </is>
      </c>
      <c r="E35" s="137" t="inlineStr">
        <is>
          <t>Media</t>
        </is>
      </c>
      <c r="F35" s="138" t="n">
        <v>12</v>
      </c>
      <c r="G35" s="137" t="inlineStr">
        <is>
          <t>RN-43</t>
        </is>
      </c>
      <c r="H35" s="136" t="inlineStr">
        <is>
          <t>Incluye datos del cliente, artículos, subtotal, IVA 19 %, total, valor en letras y número FAC-000000.</t>
        </is>
      </c>
      <c r="I35" s="137" t="inlineStr">
        <is>
          <t>RI-43</t>
        </is>
      </c>
      <c r="J35" s="136" t="inlineStr">
        <is>
          <t>Pedido, cliente, artículos, totales.</t>
        </is>
      </c>
      <c r="K35" s="136" t="inlineStr">
        <is>
          <t>Cliente, Administrador</t>
        </is>
      </c>
      <c r="L35" s="137" t="inlineStr">
        <is>
          <t>Alta</t>
        </is>
      </c>
      <c r="M35" s="137" t="inlineStr">
        <is>
          <t>CU-07, CU-26</t>
        </is>
      </c>
    </row>
    <row r="36" ht="46" customHeight="1">
      <c r="A36" s="139" t="inlineStr">
        <is>
          <t>M6. Soporte y Peticiones</t>
        </is>
      </c>
      <c r="B36" s="139" t="inlineStr">
        <is>
          <t>P13. Gestión de Incidencias</t>
        </is>
      </c>
      <c r="C36" s="140" t="inlineStr">
        <is>
          <t>RF-26</t>
        </is>
      </c>
      <c r="D36" s="140" t="inlineStr">
        <is>
          <t>Creación de tickets de soporte ligados a un pedido.</t>
        </is>
      </c>
      <c r="E36" s="141" t="inlineStr">
        <is>
          <t>Baja</t>
        </is>
      </c>
      <c r="F36" s="142" t="n">
        <v>6</v>
      </c>
      <c r="G36" s="141" t="inlineStr">
        <is>
          <t>RN-26</t>
        </is>
      </c>
      <c r="H36" s="140" t="inlineStr">
        <is>
          <t>Solo para pedidos entregados. La descripción debe tener mínimo 20 caracteres. Se puede adjuntar foto.</t>
        </is>
      </c>
      <c r="I36" s="141" t="inlineStr">
        <is>
          <t>RI-26</t>
        </is>
      </c>
      <c r="J36" s="140" t="inlineStr">
        <is>
          <t>ID del pedido, tipo de problema, descripción, fotos.</t>
        </is>
      </c>
      <c r="K36" s="140" t="inlineStr">
        <is>
          <t>Cliente</t>
        </is>
      </c>
      <c r="L36" s="141" t="inlineStr">
        <is>
          <t>Media</t>
        </is>
      </c>
      <c r="M36" s="141" t="inlineStr">
        <is>
          <t>CU-09</t>
        </is>
      </c>
    </row>
    <row r="37" ht="46" customHeight="1">
      <c r="A37" s="121" t="n"/>
      <c r="B37" s="122" t="n"/>
      <c r="C37" s="140" t="inlineStr">
        <is>
          <t>RF-27</t>
        </is>
      </c>
      <c r="D37" s="140" t="inlineStr">
        <is>
          <t>Cambio de estado de los tickets por parte del personal de soporte.</t>
        </is>
      </c>
      <c r="E37" s="141" t="inlineStr">
        <is>
          <t>Baja</t>
        </is>
      </c>
      <c r="F37" s="142" t="n">
        <v>4</v>
      </c>
      <c r="G37" s="141" t="inlineStr">
        <is>
          <t>RN-27</t>
        </is>
      </c>
      <c r="H37" s="140" t="inlineStr">
        <is>
          <t>Estados: Abierto, En progreso, Resuelto, Cerrado. Se registra la fecha de resolución.</t>
        </is>
      </c>
      <c r="I37" s="141" t="inlineStr">
        <is>
          <t>RI-27</t>
        </is>
      </c>
      <c r="J37" s="140" t="inlineStr">
        <is>
          <t>Estado, responsable asignado, historial.</t>
        </is>
      </c>
      <c r="K37" s="140" t="inlineStr">
        <is>
          <t>Administrador</t>
        </is>
      </c>
      <c r="L37" s="141" t="inlineStr">
        <is>
          <t>Media</t>
        </is>
      </c>
      <c r="M37" s="141" t="inlineStr">
        <is>
          <t>CU-28</t>
        </is>
      </c>
    </row>
    <row r="38" ht="46" customHeight="1">
      <c r="A38" s="121" t="n"/>
      <c r="B38" s="139" t="inlineStr">
        <is>
          <t>P14. Retroalimentación de la Plataforma</t>
        </is>
      </c>
      <c r="C38" s="140" t="inlineStr">
        <is>
          <t>RF-52</t>
        </is>
      </c>
      <c r="D38" s="140" t="inlineStr">
        <is>
          <t>Reporte de fallos de la plataforma.</t>
        </is>
      </c>
      <c r="E38" s="141" t="inlineStr">
        <is>
          <t>Baja</t>
        </is>
      </c>
      <c r="F38" s="142" t="n">
        <v>6</v>
      </c>
      <c r="G38" s="141" t="inlineStr">
        <is>
          <t>RN-52</t>
        </is>
      </c>
      <c r="H38" s="140" t="inlineStr">
        <is>
          <t>Título, área, severidad y descripción obligatorios. El administrador cambia su estado.</t>
        </is>
      </c>
      <c r="I38" s="141" t="inlineStr">
        <is>
          <t>RI-52</t>
        </is>
      </c>
      <c r="J38" s="140" t="inlineStr">
        <is>
          <t>Título, área, severidad, descripción, pasos para reproducir.</t>
        </is>
      </c>
      <c r="K38" s="140" t="inlineStr">
        <is>
          <t>Visitante, Vendedor</t>
        </is>
      </c>
      <c r="L38" s="141" t="inlineStr">
        <is>
          <t>Baja</t>
        </is>
      </c>
      <c r="M38" s="141" t="inlineStr">
        <is>
          <t>CU-14, CU-28</t>
        </is>
      </c>
    </row>
    <row r="39" ht="46" customHeight="1">
      <c r="A39" s="122" t="n"/>
      <c r="B39" s="122" t="n"/>
      <c r="C39" s="140" t="inlineStr">
        <is>
          <t>RF-57</t>
        </is>
      </c>
      <c r="D39" s="140" t="inlineStr">
        <is>
          <t>Formulario de contacto con la tienda.</t>
        </is>
      </c>
      <c r="E39" s="141" t="inlineStr">
        <is>
          <t>Baja</t>
        </is>
      </c>
      <c r="F39" s="142" t="n">
        <v>4</v>
      </c>
      <c r="G39" s="141" t="inlineStr">
        <is>
          <t>RN-57</t>
        </is>
      </c>
      <c r="H39" s="140" t="inlineStr">
        <is>
          <t>Nombre, correo, asunto y mensaje obligatorios. El mensaje llega al correo de la tienda.</t>
        </is>
      </c>
      <c r="I39" s="141" t="inlineStr">
        <is>
          <t>RI-57</t>
        </is>
      </c>
      <c r="J39" s="140" t="inlineStr">
        <is>
          <t>Nombre, correo, teléfono, asunto, mensaje.</t>
        </is>
      </c>
      <c r="K39" s="140" t="inlineStr">
        <is>
          <t>Visitante</t>
        </is>
      </c>
      <c r="L39" s="141" t="inlineStr">
        <is>
          <t>Baja</t>
        </is>
      </c>
      <c r="M39" s="141" t="inlineStr">
        <is>
          <t>CU-13</t>
        </is>
      </c>
    </row>
    <row r="40" ht="65" customHeight="1">
      <c r="A40" s="143" t="inlineStr">
        <is>
          <t>M7. Inventario</t>
        </is>
      </c>
      <c r="B40" s="143" t="inlineStr">
        <is>
          <t>P15. Control de Existencias</t>
        </is>
      </c>
      <c r="C40" s="144" t="inlineStr">
        <is>
          <t>RF-40</t>
        </is>
      </c>
      <c r="D40" s="144" t="inlineStr">
        <is>
          <t>Registro de lotes de inventario recibidos.</t>
        </is>
      </c>
      <c r="E40" s="145" t="inlineStr">
        <is>
          <t>Media</t>
        </is>
      </c>
      <c r="F40" s="146" t="n">
        <v>10</v>
      </c>
      <c r="G40" s="145" t="inlineStr">
        <is>
          <t>RN-40</t>
        </is>
      </c>
      <c r="H40" s="144" t="inlineStr">
        <is>
          <t>Metros recibidos &gt; 0 y costo por metro &gt; 0. El lote queda ligado a un producto.</t>
        </is>
      </c>
      <c r="I40" s="145" t="inlineStr">
        <is>
          <t>RI-40</t>
        </is>
      </c>
      <c r="J40" s="144" t="inlineStr">
        <is>
          <t>Producto, número de lote, metros recibidos, costo por metro, proveedor, fecha.</t>
        </is>
      </c>
      <c r="K40" s="144" t="inlineStr">
        <is>
          <t>Administrador</t>
        </is>
      </c>
      <c r="L40" s="145" t="inlineStr">
        <is>
          <t>Media</t>
        </is>
      </c>
      <c r="M40" s="145" t="inlineStr">
        <is>
          <t>CU-23</t>
        </is>
      </c>
    </row>
    <row r="41" ht="46" customHeight="1">
      <c r="A41" s="121" t="n"/>
      <c r="B41" s="121" t="n"/>
      <c r="C41" s="144" t="inlineStr">
        <is>
          <t>RF-41</t>
        </is>
      </c>
      <c r="D41" s="144" t="inlineStr">
        <is>
          <t>Registro de mermas de tela.</t>
        </is>
      </c>
      <c r="E41" s="145" t="inlineStr">
        <is>
          <t>Media</t>
        </is>
      </c>
      <c r="F41" s="146" t="n">
        <v>8</v>
      </c>
      <c r="G41" s="145" t="inlineStr">
        <is>
          <t>RN-41</t>
        </is>
      </c>
      <c r="H41" s="144" t="inlineStr">
        <is>
          <t>Metros perdidos &gt; 0, motivo obligatorio. Se calcula el impacto en costo.</t>
        </is>
      </c>
      <c r="I41" s="145" t="inlineStr">
        <is>
          <t>RI-41</t>
        </is>
      </c>
      <c r="J41" s="144" t="inlineStr">
        <is>
          <t>Lote, metros perdidos, motivo, responsable, impacto en costo.</t>
        </is>
      </c>
      <c r="K41" s="144" t="inlineStr">
        <is>
          <t>Administrador</t>
        </is>
      </c>
      <c r="L41" s="145" t="inlineStr">
        <is>
          <t>Media</t>
        </is>
      </c>
      <c r="M41" s="145" t="inlineStr">
        <is>
          <t>CU-24</t>
        </is>
      </c>
    </row>
    <row r="42" ht="46" customHeight="1">
      <c r="A42" s="121" t="n"/>
      <c r="B42" s="122" t="n"/>
      <c r="C42" s="144" t="inlineStr">
        <is>
          <t>RF-42</t>
        </is>
      </c>
      <c r="D42" s="144" t="inlineStr">
        <is>
          <t>Configuración de umbrales y alertas de stock.</t>
        </is>
      </c>
      <c r="E42" s="145" t="inlineStr">
        <is>
          <t>Baja</t>
        </is>
      </c>
      <c r="F42" s="146" t="n">
        <v>6</v>
      </c>
      <c r="G42" s="145" t="inlineStr">
        <is>
          <t>RN-42</t>
        </is>
      </c>
      <c r="H42" s="144" t="inlineStr">
        <is>
          <t>Mínimo de metros por tipo de tela. La alerta se puede activar o desactivar.</t>
        </is>
      </c>
      <c r="I42" s="145" t="inlineStr">
        <is>
          <t>RI-42</t>
        </is>
      </c>
      <c r="J42" s="144" t="inlineStr">
        <is>
          <t>Tipo de tela, metros mínimos, alerta activa.</t>
        </is>
      </c>
      <c r="K42" s="144" t="inlineStr">
        <is>
          <t>Administrador, Vendedor</t>
        </is>
      </c>
      <c r="L42" s="145" t="inlineStr">
        <is>
          <t>Media</t>
        </is>
      </c>
      <c r="M42" s="145" t="inlineStr">
        <is>
          <t>CU-16, CU-25</t>
        </is>
      </c>
    </row>
    <row r="43" ht="46" customHeight="1">
      <c r="A43" s="122" t="n"/>
      <c r="B43" s="143" t="inlineStr">
        <is>
          <t>P16. Trazabilidad de Inventario</t>
        </is>
      </c>
      <c r="C43" s="144" t="inlineStr">
        <is>
          <t>RF-54</t>
        </is>
      </c>
      <c r="D43" s="144" t="inlineStr">
        <is>
          <t>Historial de movimientos de inventario con exportación a CSV.</t>
        </is>
      </c>
      <c r="E43" s="145" t="inlineStr">
        <is>
          <t>Baja</t>
        </is>
      </c>
      <c r="F43" s="146" t="n">
        <v>6</v>
      </c>
      <c r="G43" s="145" t="inlineStr">
        <is>
          <t>RN-54</t>
        </is>
      </c>
      <c r="H43" s="144" t="inlineStr">
        <is>
          <t>Lista entradas, mermas y ventas con fecha, usuario y metros.</t>
        </is>
      </c>
      <c r="I43" s="145" t="inlineStr">
        <is>
          <t>RI-54</t>
        </is>
      </c>
      <c r="J43" s="144" t="inlineStr">
        <is>
          <t>Fecha, tipo, usuario, lote, metros, motivo.</t>
        </is>
      </c>
      <c r="K43" s="144" t="inlineStr">
        <is>
          <t>Administrador</t>
        </is>
      </c>
      <c r="L43" s="145" t="inlineStr">
        <is>
          <t>Baja</t>
        </is>
      </c>
      <c r="M43" s="145" t="inlineStr">
        <is>
          <t>CU-23</t>
        </is>
      </c>
    </row>
    <row r="44" ht="46" customHeight="1">
      <c r="A44" s="147" t="inlineStr">
        <is>
          <t>M8. Panel del Vendedor</t>
        </is>
      </c>
      <c r="B44" s="147" t="inlineStr">
        <is>
          <t>P17. Panel del Vendedor</t>
        </is>
      </c>
      <c r="C44" s="148" t="inlineStr">
        <is>
          <t>RF-33</t>
        </is>
      </c>
      <c r="D44" s="148" t="inlineStr">
        <is>
          <t>Panel de control del vendedor con sus propias telas.</t>
        </is>
      </c>
      <c r="E44" s="149" t="inlineStr">
        <is>
          <t>Media</t>
        </is>
      </c>
      <c r="F44" s="150" t="n">
        <v>10</v>
      </c>
      <c r="G44" s="149" t="inlineStr">
        <is>
          <t>RN-33</t>
        </is>
      </c>
      <c r="H44" s="148" t="inlineStr">
        <is>
          <t>Muestra cuántos metros quedan de cada referencia y las alertas de stock bajo.</t>
        </is>
      </c>
      <c r="I44" s="149" t="inlineStr">
        <is>
          <t>RI-33</t>
        </is>
      </c>
      <c r="J44" s="148" t="inlineStr">
        <is>
          <t>Productos del vendedor, stock, alertas.</t>
        </is>
      </c>
      <c r="K44" s="148" t="inlineStr">
        <is>
          <t>Vendedor</t>
        </is>
      </c>
      <c r="L44" s="149" t="inlineStr">
        <is>
          <t>Alta</t>
        </is>
      </c>
      <c r="M44" s="149" t="inlineStr">
        <is>
          <t>CU-15, CU-16</t>
        </is>
      </c>
    </row>
    <row r="45" ht="65" customHeight="1">
      <c r="A45" s="121" t="n"/>
      <c r="B45" s="121" t="n"/>
      <c r="C45" s="148" t="inlineStr">
        <is>
          <t>RF-34</t>
        </is>
      </c>
      <c r="D45" s="148" t="inlineStr">
        <is>
          <t>Balance de ingresos por las ventas del vendedor.</t>
        </is>
      </c>
      <c r="E45" s="149" t="inlineStr">
        <is>
          <t>Media</t>
        </is>
      </c>
      <c r="F45" s="150" t="n">
        <v>8</v>
      </c>
      <c r="G45" s="149" t="inlineStr">
        <is>
          <t>RN-34</t>
        </is>
      </c>
      <c r="H45" s="148" t="inlineStr">
        <is>
          <t>Se descuenta la tasa de comisión de la plataforma registrada para el vendedor (usuarios.tasa_comision).</t>
        </is>
      </c>
      <c r="I45" s="149" t="inlineStr">
        <is>
          <t>RI-34</t>
        </is>
      </c>
      <c r="J45" s="148" t="inlineStr">
        <is>
          <t>Ventas, comisión, saldo disponible del vendedor.</t>
        </is>
      </c>
      <c r="K45" s="148" t="inlineStr">
        <is>
          <t>Vendedor</t>
        </is>
      </c>
      <c r="L45" s="149" t="inlineStr">
        <is>
          <t>Media</t>
        </is>
      </c>
      <c r="M45" s="149" t="inlineStr">
        <is>
          <t>CU-15</t>
        </is>
      </c>
    </row>
    <row r="46" ht="65" customHeight="1">
      <c r="A46" s="122" t="n"/>
      <c r="B46" s="122" t="n"/>
      <c r="C46" s="148" t="inlineStr">
        <is>
          <t>RF-35</t>
        </is>
      </c>
      <c r="D46" s="148" t="inlineStr">
        <is>
          <t>Listado de pedidos que contienen productos del vendedor.</t>
        </is>
      </c>
      <c r="E46" s="149" t="inlineStr">
        <is>
          <t>Media</t>
        </is>
      </c>
      <c r="F46" s="150" t="n">
        <v>10</v>
      </c>
      <c r="G46" s="149" t="inlineStr">
        <is>
          <t>RN-35</t>
        </is>
      </c>
      <c r="H46" s="148" t="inlineStr">
        <is>
          <t>El vendedor de cada línea se toma del producto. Solo ve sus ítems dentro de un pedido con varios vendedores.</t>
        </is>
      </c>
      <c r="I46" s="149" t="inlineStr">
        <is>
          <t>RI-35</t>
        </is>
      </c>
      <c r="J46" s="148" t="inlineStr">
        <is>
          <t>Pedidos pendientes de envío, estado.</t>
        </is>
      </c>
      <c r="K46" s="148" t="inlineStr">
        <is>
          <t>Vendedor</t>
        </is>
      </c>
      <c r="L46" s="149" t="inlineStr">
        <is>
          <t>Alta</t>
        </is>
      </c>
      <c r="M46" s="149" t="inlineStr">
        <is>
          <t>CU-17</t>
        </is>
      </c>
    </row>
    <row r="47" ht="46" customHeight="1">
      <c r="A47" s="151" t="inlineStr">
        <is>
          <t>M9. Administración</t>
        </is>
      </c>
      <c r="B47" s="151" t="inlineStr">
        <is>
          <t>P18. Usuarios y Moderación</t>
        </is>
      </c>
      <c r="C47" s="152" t="inlineStr">
        <is>
          <t>RF-31</t>
        </is>
      </c>
      <c r="D47" s="152" t="inlineStr">
        <is>
          <t>Gestión de usuarios: cambio de rol y bloqueo o desbloqueo.</t>
        </is>
      </c>
      <c r="E47" s="153" t="inlineStr">
        <is>
          <t>Baja</t>
        </is>
      </c>
      <c r="F47" s="154" t="n">
        <v>8</v>
      </c>
      <c r="G47" s="153" t="inlineStr">
        <is>
          <t>RN-31</t>
        </is>
      </c>
      <c r="H47" s="152" t="inlineStr">
        <is>
          <t>El administrador no puede bloquearse ni quitarse el rol a sí mismo.</t>
        </is>
      </c>
      <c r="I47" s="153" t="inlineStr">
        <is>
          <t>RI-31</t>
        </is>
      </c>
      <c r="J47" s="152" t="inlineStr">
        <is>
          <t>Rol, estado de la cuenta, motivo de suspensión.</t>
        </is>
      </c>
      <c r="K47" s="152" t="inlineStr">
        <is>
          <t>Administrador</t>
        </is>
      </c>
      <c r="L47" s="153" t="inlineStr">
        <is>
          <t>Alta</t>
        </is>
      </c>
      <c r="M47" s="153" t="inlineStr">
        <is>
          <t>CU-18</t>
        </is>
      </c>
    </row>
    <row r="48" ht="46" customHeight="1">
      <c r="A48" s="121" t="n"/>
      <c r="B48" s="121" t="n"/>
      <c r="C48" s="152" t="inlineStr">
        <is>
          <t>RF-55</t>
        </is>
      </c>
      <c r="D48" s="152" t="inlineStr">
        <is>
          <t>Gestión de la comisión y suspensión de vendedores.</t>
        </is>
      </c>
      <c r="E48" s="153" t="inlineStr">
        <is>
          <t>Baja</t>
        </is>
      </c>
      <c r="F48" s="154" t="n">
        <v>6</v>
      </c>
      <c r="G48" s="153" t="inlineStr">
        <is>
          <t>RN-55</t>
        </is>
      </c>
      <c r="H48" s="152" t="inlineStr">
        <is>
          <t>La suspensión exige un motivo. La comisión es un porcentaje entre 0 y 100.</t>
        </is>
      </c>
      <c r="I48" s="153" t="inlineStr">
        <is>
          <t>RI-55</t>
        </is>
      </c>
      <c r="J48" s="152" t="inlineStr">
        <is>
          <t>Vendedor, tasa de comisión, motivo de suspensión.</t>
        </is>
      </c>
      <c r="K48" s="152" t="inlineStr">
        <is>
          <t>Administrador</t>
        </is>
      </c>
      <c r="L48" s="153" t="inlineStr">
        <is>
          <t>Media</t>
        </is>
      </c>
      <c r="M48" s="153" t="inlineStr">
        <is>
          <t>CU-20</t>
        </is>
      </c>
    </row>
    <row r="49" ht="46" customHeight="1">
      <c r="A49" s="121" t="n"/>
      <c r="B49" s="122" t="n"/>
      <c r="C49" s="152" t="inlineStr">
        <is>
          <t>RF-39</t>
        </is>
      </c>
      <c r="D49" s="152" t="inlineStr">
        <is>
          <t>Moderación de productos nuevos (aprobar o rechazar).</t>
        </is>
      </c>
      <c r="E49" s="153" t="inlineStr">
        <is>
          <t>Media</t>
        </is>
      </c>
      <c r="F49" s="154" t="n">
        <v>8</v>
      </c>
      <c r="G49" s="153" t="inlineStr">
        <is>
          <t>RN-39</t>
        </is>
      </c>
      <c r="H49" s="152" t="inlineStr">
        <is>
          <t>El rechazo exige un motivo. Un producto rechazado queda inactivo y no se muestra en el catálogo.</t>
        </is>
      </c>
      <c r="I49" s="153" t="inlineStr">
        <is>
          <t>RI-39</t>
        </is>
      </c>
      <c r="J49" s="152" t="inlineStr">
        <is>
          <t>Producto, estado de moderación, motivo de rechazo.</t>
        </is>
      </c>
      <c r="K49" s="152" t="inlineStr">
        <is>
          <t>Administrador</t>
        </is>
      </c>
      <c r="L49" s="153" t="inlineStr">
        <is>
          <t>Alta</t>
        </is>
      </c>
      <c r="M49" s="153" t="inlineStr">
        <is>
          <t>CU-19</t>
        </is>
      </c>
    </row>
    <row r="50" ht="46" customHeight="1">
      <c r="A50" s="121" t="n"/>
      <c r="B50" s="151" t="inlineStr">
        <is>
          <t>P19. Catálogo y Contenido</t>
        </is>
      </c>
      <c r="C50" s="152" t="inlineStr">
        <is>
          <t>RF-32</t>
        </is>
      </c>
      <c r="D50" s="152" t="inlineStr">
        <is>
          <t>Supervisión y edición global de cualquier producto del sitio.</t>
        </is>
      </c>
      <c r="E50" s="153" t="inlineStr">
        <is>
          <t>Baja</t>
        </is>
      </c>
      <c r="F50" s="154" t="n">
        <v>6</v>
      </c>
      <c r="G50" s="153" t="inlineStr">
        <is>
          <t>RN-32</t>
        </is>
      </c>
      <c r="H50" s="152" t="inlineStr">
        <is>
          <t>Permite corregir precios o stock de cualquier vendedor.</t>
        </is>
      </c>
      <c r="I50" s="153" t="inlineStr">
        <is>
          <t>RI-32</t>
        </is>
      </c>
      <c r="J50" s="152" t="inlineStr">
        <is>
          <t>Acceso total al catálogo.</t>
        </is>
      </c>
      <c r="K50" s="152" t="inlineStr">
        <is>
          <t>Administrador</t>
        </is>
      </c>
      <c r="L50" s="153" t="inlineStr">
        <is>
          <t>Media</t>
        </is>
      </c>
      <c r="M50" s="153" t="inlineStr">
        <is>
          <t>CU-21</t>
        </is>
      </c>
    </row>
    <row r="51" ht="46" customHeight="1">
      <c r="A51" s="121" t="n"/>
      <c r="B51" s="121" t="n"/>
      <c r="C51" s="152" t="inlineStr">
        <is>
          <t>RF-44</t>
        </is>
      </c>
      <c r="D51" s="152" t="inlineStr">
        <is>
          <t>Gestión del carrusel de la página de inicio.</t>
        </is>
      </c>
      <c r="E51" s="153" t="inlineStr">
        <is>
          <t>Baja</t>
        </is>
      </c>
      <c r="F51" s="154" t="n">
        <v>6</v>
      </c>
      <c r="G51" s="153" t="inlineStr">
        <is>
          <t>RN-44</t>
        </is>
      </c>
      <c r="H51" s="152" t="inlineStr">
        <is>
          <t>Cada diapositiva tiene título, imagen y orden; se puede ocultar sin borrarla.</t>
        </is>
      </c>
      <c r="I51" s="153" t="inlineStr">
        <is>
          <t>RI-44</t>
        </is>
      </c>
      <c r="J51" s="152" t="inlineStr">
        <is>
          <t>Título, subtítulo, imagen, texto del botón, sección, orden, activo.</t>
        </is>
      </c>
      <c r="K51" s="152" t="inlineStr">
        <is>
          <t>Administrador</t>
        </is>
      </c>
      <c r="L51" s="153" t="inlineStr">
        <is>
          <t>Baja</t>
        </is>
      </c>
      <c r="M51" s="153" t="inlineStr">
        <is>
          <t>CU-22</t>
        </is>
      </c>
    </row>
    <row r="52" ht="46" customHeight="1">
      <c r="A52" s="121" t="n"/>
      <c r="B52" s="121" t="n"/>
      <c r="C52" s="152" t="inlineStr">
        <is>
          <t>RF-45</t>
        </is>
      </c>
      <c r="D52" s="152" t="inlineStr">
        <is>
          <t>Gestión de los apartados del inicio (nuevas colecciones, exclusivas, ofertas).</t>
        </is>
      </c>
      <c r="E52" s="153" t="inlineStr">
        <is>
          <t>Baja</t>
        </is>
      </c>
      <c r="F52" s="154" t="n">
        <v>6</v>
      </c>
      <c r="G52" s="153" t="inlineStr">
        <is>
          <t>RN-45</t>
        </is>
      </c>
      <c r="H52" s="152" t="inlineStr">
        <is>
          <t>Cada apartado se puede mostrar u ocultar y cambiar de orden.</t>
        </is>
      </c>
      <c r="I52" s="153" t="inlineStr">
        <is>
          <t>RI-45</t>
        </is>
      </c>
      <c r="J52" s="152" t="inlineStr">
        <is>
          <t>Clave, título, subtítulo, orden, activo.</t>
        </is>
      </c>
      <c r="K52" s="152" t="inlineStr">
        <is>
          <t>Administrador</t>
        </is>
      </c>
      <c r="L52" s="153" t="inlineStr">
        <is>
          <t>Baja</t>
        </is>
      </c>
      <c r="M52" s="153" t="inlineStr">
        <is>
          <t>CU-22</t>
        </is>
      </c>
    </row>
    <row r="53" ht="38" customHeight="1">
      <c r="A53" s="121" t="n"/>
      <c r="B53" s="122" t="n"/>
      <c r="C53" s="152" t="inlineStr">
        <is>
          <t>RF-46</t>
        </is>
      </c>
      <c r="D53" s="152" t="inlineStr">
        <is>
          <t>Gestión del banner global de anuncios.</t>
        </is>
      </c>
      <c r="E53" s="153" t="inlineStr">
        <is>
          <t>Baja</t>
        </is>
      </c>
      <c r="F53" s="154" t="n">
        <v>4</v>
      </c>
      <c r="G53" s="153" t="inlineStr">
        <is>
          <t>RN-46</t>
        </is>
      </c>
      <c r="H53" s="152" t="inlineStr">
        <is>
          <t>Solo puede haber un banner activo a la vez.</t>
        </is>
      </c>
      <c r="I53" s="153" t="inlineStr">
        <is>
          <t>RI-46</t>
        </is>
      </c>
      <c r="J53" s="152" t="inlineStr">
        <is>
          <t>Mensaje, tipo de banner, activo.</t>
        </is>
      </c>
      <c r="K53" s="152" t="inlineStr">
        <is>
          <t>Administrador</t>
        </is>
      </c>
      <c r="L53" s="153" t="inlineStr">
        <is>
          <t>Baja</t>
        </is>
      </c>
      <c r="M53" s="153" t="inlineStr">
        <is>
          <t>CU-22</t>
        </is>
      </c>
    </row>
    <row r="54" ht="84" customHeight="1">
      <c r="A54" s="121" t="n"/>
      <c r="B54" s="151" t="inlineStr">
        <is>
          <t>P20. Promociones y Configuración</t>
        </is>
      </c>
      <c r="C54" s="152" t="inlineStr">
        <is>
          <t>RF-36</t>
        </is>
      </c>
      <c r="D54" s="152" t="inlineStr">
        <is>
          <t>Creación y desactivación de cupones de descuento.</t>
        </is>
      </c>
      <c r="E54" s="153" t="inlineStr">
        <is>
          <t>Media</t>
        </is>
      </c>
      <c r="F54" s="154" t="n">
        <v>8</v>
      </c>
      <c r="G54" s="153" t="inlineStr">
        <is>
          <t>RN-36</t>
        </is>
      </c>
      <c r="H54" s="152" t="inlineStr">
        <is>
          <t>Código único. Descuento en porcentaje (1–100) o valor fijo. Fecha de vencimiento futura. Reglas opcionales: compra mínima, usos máximos, solo primera compra.</t>
        </is>
      </c>
      <c r="I54" s="153" t="inlineStr">
        <is>
          <t>RI-36</t>
        </is>
      </c>
      <c r="J54" s="152" t="inlineStr">
        <is>
          <t>Código, tipo, valor, vencimiento, compra mínima, usos máximos, activo.</t>
        </is>
      </c>
      <c r="K54" s="152" t="inlineStr">
        <is>
          <t>Administrador</t>
        </is>
      </c>
      <c r="L54" s="153" t="inlineStr">
        <is>
          <t>Media</t>
        </is>
      </c>
      <c r="M54" s="153" t="inlineStr">
        <is>
          <t>CU-27</t>
        </is>
      </c>
    </row>
    <row r="55" ht="65" customHeight="1">
      <c r="A55" s="122" t="n"/>
      <c r="B55" s="122" t="n"/>
      <c r="C55" s="152" t="inlineStr">
        <is>
          <t>RF-47</t>
        </is>
      </c>
      <c r="D55" s="152" t="inlineStr">
        <is>
          <t>Configuración general del sistema.</t>
        </is>
      </c>
      <c r="E55" s="153" t="inlineStr">
        <is>
          <t>Media</t>
        </is>
      </c>
      <c r="F55" s="154" t="n">
        <v>8</v>
      </c>
      <c r="G55" s="153" t="inlineStr">
        <is>
          <t>RN-47</t>
        </is>
      </c>
      <c r="H55" s="152" t="inlineStr">
        <is>
          <t>Nombre de la tienda, colores de marca, IVA, costo de envío, mínimo para envío gratis y umbral de stock bajo. Los cambios se aplican de inmediato.</t>
        </is>
      </c>
      <c r="I55" s="153" t="inlineStr">
        <is>
          <t>RI-47</t>
        </is>
      </c>
      <c r="J55" s="152" t="inlineStr">
        <is>
          <t>Clave, valor.</t>
        </is>
      </c>
      <c r="K55" s="152" t="inlineStr">
        <is>
          <t>Administrador</t>
        </is>
      </c>
      <c r="L55" s="153" t="inlineStr">
        <is>
          <t>Media</t>
        </is>
      </c>
      <c r="M55" s="153" t="inlineStr">
        <is>
          <t>CU-30</t>
        </is>
      </c>
    </row>
    <row r="56" ht="46" customHeight="1">
      <c r="A56" s="155" t="inlineStr">
        <is>
          <t>M10. Analítica de Datos</t>
        </is>
      </c>
      <c r="B56" s="155" t="inlineStr">
        <is>
          <t>P21. Inteligencia de Negocio (BI)</t>
        </is>
      </c>
      <c r="C56" s="156" t="inlineStr">
        <is>
          <t>RF-28</t>
        </is>
      </c>
      <c r="D56" s="156" t="inlineStr">
        <is>
          <t>Dashboard con el total de ingresos por rango de fechas.</t>
        </is>
      </c>
      <c r="E56" s="157" t="inlineStr">
        <is>
          <t>Media</t>
        </is>
      </c>
      <c r="F56" s="158" t="n">
        <v>8</v>
      </c>
      <c r="G56" s="157" t="inlineStr">
        <is>
          <t>RN-28</t>
        </is>
      </c>
      <c r="H56" s="156" t="inlineStr">
        <is>
          <t>Sumar solo pedidos en estado «Pagado» o posterior; excluir «Cancelado».</t>
        </is>
      </c>
      <c r="I56" s="157" t="inlineStr">
        <is>
          <t>RI-28</t>
        </is>
      </c>
      <c r="J56" s="156" t="inlineStr">
        <is>
          <t>Total de ventas, pedidos, usuarios nuevos.</t>
        </is>
      </c>
      <c r="K56" s="156" t="inlineStr">
        <is>
          <t>Administrador</t>
        </is>
      </c>
      <c r="L56" s="157" t="inlineStr">
        <is>
          <t>Media</t>
        </is>
      </c>
      <c r="M56" s="157" t="inlineStr">
        <is>
          <t>CU-29</t>
        </is>
      </c>
    </row>
    <row r="57" ht="46" customHeight="1">
      <c r="A57" s="121" t="n"/>
      <c r="B57" s="121" t="n"/>
      <c r="C57" s="156" t="inlineStr">
        <is>
          <t>RF-29</t>
        </is>
      </c>
      <c r="D57" s="156" t="inlineStr">
        <is>
          <t>Reporte de comportamiento de compra por cliente.</t>
        </is>
      </c>
      <c r="E57" s="157" t="inlineStr">
        <is>
          <t>Media</t>
        </is>
      </c>
      <c r="F57" s="158" t="n">
        <v>12</v>
      </c>
      <c r="G57" s="157" t="inlineStr">
        <is>
          <t>RN-29</t>
        </is>
      </c>
      <c r="H57" s="156" t="inlineStr">
        <is>
          <t>Identificar clientes recurrentes para fidelización.</t>
        </is>
      </c>
      <c r="I57" s="157" t="inlineStr">
        <is>
          <t>RI-29</t>
        </is>
      </c>
      <c r="J57" s="156" t="inlineStr">
        <is>
          <t>Top de clientes, frecuencia de compra, valor total.</t>
        </is>
      </c>
      <c r="K57" s="156" t="inlineStr">
        <is>
          <t>Administrador</t>
        </is>
      </c>
      <c r="L57" s="157" t="inlineStr">
        <is>
          <t>Baja</t>
        </is>
      </c>
      <c r="M57" s="157" t="inlineStr">
        <is>
          <t>CU-29</t>
        </is>
      </c>
    </row>
    <row r="58" ht="46" customHeight="1">
      <c r="A58" s="121" t="n"/>
      <c r="B58" s="121" t="n"/>
      <c r="C58" s="156" t="inlineStr">
        <is>
          <t>RF-30</t>
        </is>
      </c>
      <c r="D58" s="156" t="inlineStr">
        <is>
          <t>Ranking de telas más vendidas y de baja rotación.</t>
        </is>
      </c>
      <c r="E58" s="157" t="inlineStr">
        <is>
          <t>Baja</t>
        </is>
      </c>
      <c r="F58" s="158" t="n">
        <v>6</v>
      </c>
      <c r="G58" s="157" t="inlineStr">
        <is>
          <t>RN-30</t>
        </is>
      </c>
      <c r="H58" s="156" t="inlineStr">
        <is>
          <t>Ordenar las telas por metros vendidos de mayor a menor; marcar stock sin movimiento en 60 días.</t>
        </is>
      </c>
      <c r="I58" s="157" t="inlineStr">
        <is>
          <t>RI-30</t>
        </is>
      </c>
      <c r="J58" s="156" t="inlineStr">
        <is>
          <t>Metros vendidos por referencia, días sin venta.</t>
        </is>
      </c>
      <c r="K58" s="156" t="inlineStr">
        <is>
          <t>Administrador</t>
        </is>
      </c>
      <c r="L58" s="157" t="inlineStr">
        <is>
          <t>Baja</t>
        </is>
      </c>
      <c r="M58" s="157" t="inlineStr">
        <is>
          <t>CU-29</t>
        </is>
      </c>
    </row>
    <row r="59" ht="46" customHeight="1">
      <c r="A59" s="122" t="n"/>
      <c r="B59" s="122" t="n"/>
      <c r="C59" s="156" t="inlineStr">
        <is>
          <t>RF-53</t>
        </is>
      </c>
      <c r="D59" s="156" t="inlineStr">
        <is>
          <t>Analítica de ventas por región, devoluciones y proyección de ingresos.</t>
        </is>
      </c>
      <c r="E59" s="157" t="inlineStr">
        <is>
          <t>Media</t>
        </is>
      </c>
      <c r="F59" s="158" t="n">
        <v>12</v>
      </c>
      <c r="G59" s="157" t="inlineStr">
        <is>
          <t>RN-53</t>
        </is>
      </c>
      <c r="H59" s="156" t="inlineStr">
        <is>
          <t>Ventas agrupadas por departamento; proyección con escenarios conservador, base y optimista.</t>
        </is>
      </c>
      <c r="I59" s="157" t="inlineStr">
        <is>
          <t>RI-53</t>
        </is>
      </c>
      <c r="J59" s="156" t="inlineStr">
        <is>
          <t>Región, ventas, porcentaje, escenarios de proyección.</t>
        </is>
      </c>
      <c r="K59" s="156" t="inlineStr">
        <is>
          <t>Administrador</t>
        </is>
      </c>
      <c r="L59" s="157" t="inlineStr">
        <is>
          <t>Baja</t>
        </is>
      </c>
      <c r="M59" s="157" t="inlineStr">
        <is>
          <t>CU-29</t>
        </is>
      </c>
    </row>
    <row r="60" ht="65" customHeight="1">
      <c r="A60" s="159" t="inlineStr">
        <is>
          <t>M11. Motor Textil (alcance futuro)</t>
        </is>
      </c>
      <c r="B60" s="159" t="inlineStr">
        <is>
          <t>P22. Corte por Rollo</t>
        </is>
      </c>
      <c r="C60" s="160" t="inlineStr">
        <is>
          <t>RF-58</t>
        </is>
      </c>
      <c r="D60" s="160" t="inlineStr">
        <is>
          <t>Validación de metraje continuo en un solo rollo del mismo lote de tintorería.</t>
        </is>
      </c>
      <c r="E60" s="161" t="inlineStr">
        <is>
          <t>Alta</t>
        </is>
      </c>
      <c r="F60" s="162" t="n">
        <v>16</v>
      </c>
      <c r="G60" s="161" t="inlineStr">
        <is>
          <t>RN-58</t>
        </is>
      </c>
      <c r="H60" s="160" t="inlineStr">
        <is>
          <t>El corte debe caber completo en un rollo «disponible» del lote pedido. Si el stock está repartido, se rechaza (FRAGMENTED_STOCK).</t>
        </is>
      </c>
      <c r="I60" s="161" t="inlineStr">
        <is>
          <t>RI-58</t>
        </is>
      </c>
      <c r="J60" s="160" t="inlineStr">
        <is>
          <t>Rollos, lote de tintorería, metraje remanente.</t>
        </is>
      </c>
      <c r="K60" s="160" t="inlineStr">
        <is>
          <t>Sistema</t>
        </is>
      </c>
      <c r="L60" s="161" t="inlineStr">
        <is>
          <t>Baja</t>
        </is>
      </c>
      <c r="M60" s="161" t="inlineStr">
        <is>
          <t>—</t>
        </is>
      </c>
    </row>
    <row r="61" ht="65" customHeight="1">
      <c r="A61" s="121" t="n"/>
      <c r="B61" s="121" t="n"/>
      <c r="C61" s="160" t="inlineStr">
        <is>
          <t>RF-59</t>
        </is>
      </c>
      <c r="D61" s="160" t="inlineStr">
        <is>
          <t>Reclasificación automática de remanentes como retazo.</t>
        </is>
      </c>
      <c r="E61" s="161" t="inlineStr">
        <is>
          <t>Media</t>
        </is>
      </c>
      <c r="F61" s="162" t="n">
        <v>8</v>
      </c>
      <c r="G61" s="161" t="inlineStr">
        <is>
          <t>RN-59</t>
        </is>
      </c>
      <c r="H61" s="160" t="inlineStr">
        <is>
          <t>Si tras el corte quedan menos de 1,0 m, el rollo pasa a «retazo liquidado» con 40 % de descuento y se registra una merma.</t>
        </is>
      </c>
      <c r="I61" s="161" t="inlineStr">
        <is>
          <t>RI-59</t>
        </is>
      </c>
      <c r="J61" s="160" t="inlineStr">
        <is>
          <t>Remanente, estado del rollo, precio del retazo.</t>
        </is>
      </c>
      <c r="K61" s="160" t="inlineStr">
        <is>
          <t>Sistema</t>
        </is>
      </c>
      <c r="L61" s="161" t="inlineStr">
        <is>
          <t>Baja</t>
        </is>
      </c>
      <c r="M61" s="161" t="inlineStr">
        <is>
          <t>—</t>
        </is>
      </c>
    </row>
    <row r="62" ht="46" customHeight="1">
      <c r="A62" s="122" t="n"/>
      <c r="B62" s="122" t="n"/>
      <c r="C62" s="160" t="inlineStr">
        <is>
          <t>RF-60</t>
        </is>
      </c>
      <c r="D62" s="160" t="inlineStr">
        <is>
          <t>Tarifa escalonada por volumen de compra.</t>
        </is>
      </c>
      <c r="E62" s="161" t="inlineStr">
        <is>
          <t>Media</t>
        </is>
      </c>
      <c r="F62" s="162" t="n">
        <v>8</v>
      </c>
      <c r="G62" s="161" t="inlineStr">
        <is>
          <t>RN-60</t>
        </is>
      </c>
      <c r="H62" s="160" t="inlineStr">
        <is>
          <t>Detal &lt; 15 m sin descuento; mayorista de 15 a 49,99 m con 15 %; rollo cerrado ≥ 50 m con 25 %.</t>
        </is>
      </c>
      <c r="I62" s="161" t="inlineStr">
        <is>
          <t>RI-60</t>
        </is>
      </c>
      <c r="J62" s="160" t="inlineStr">
        <is>
          <t>Metraje total, tipo de tarifa, porcentaje de descuento.</t>
        </is>
      </c>
      <c r="K62" s="160" t="inlineStr">
        <is>
          <t>Sistema</t>
        </is>
      </c>
      <c r="L62" s="161" t="inlineStr">
        <is>
          <t>Baja</t>
        </is>
      </c>
      <c r="M62" s="161" t="inlineStr">
        <is>
          <t>—</t>
        </is>
      </c>
    </row>
    <row r="63" ht="24" customHeight="1">
      <c r="A63" s="163" t="inlineStr">
        <is>
          <t>TOTAL DE HORAS ESTIMADAS</t>
        </is>
      </c>
      <c r="B63" s="164" t="n"/>
      <c r="C63" s="164" t="n"/>
      <c r="D63" s="164" t="n"/>
      <c r="E63" s="116">
        <f>COUNTA(C3:C62)&amp;" RF"</f>
        <v/>
      </c>
      <c r="F63" s="165">
        <f>SUM(F3:F62)</f>
        <v/>
      </c>
      <c r="G63" s="164" t="n"/>
      <c r="H63" s="164" t="n"/>
      <c r="I63" s="164" t="n"/>
      <c r="J63" s="164" t="n"/>
      <c r="K63" s="164" t="n"/>
      <c r="L63" s="164" t="n"/>
      <c r="M63" s="164" t="n"/>
    </row>
  </sheetData>
  <mergeCells count="39">
    <mergeCell ref="A36:A39"/>
    <mergeCell ref="B56:B59"/>
    <mergeCell ref="B40:B42"/>
    <mergeCell ref="B50:B53"/>
    <mergeCell ref="B30:B32"/>
    <mergeCell ref="B33:B35"/>
    <mergeCell ref="A1:B1"/>
    <mergeCell ref="A63:D63"/>
    <mergeCell ref="A30:A35"/>
    <mergeCell ref="B38:B39"/>
    <mergeCell ref="B14:B15"/>
    <mergeCell ref="A44:A46"/>
    <mergeCell ref="C1:D1"/>
    <mergeCell ref="E1:F1"/>
    <mergeCell ref="A56:A59"/>
    <mergeCell ref="A16:A21"/>
    <mergeCell ref="B25:B27"/>
    <mergeCell ref="B3:B5"/>
    <mergeCell ref="B16:B18"/>
    <mergeCell ref="B28:B29"/>
    <mergeCell ref="B47:B49"/>
    <mergeCell ref="B6:B7"/>
    <mergeCell ref="B22:B24"/>
    <mergeCell ref="A47:A55"/>
    <mergeCell ref="B36:B37"/>
    <mergeCell ref="A60:A62"/>
    <mergeCell ref="B11:B13"/>
    <mergeCell ref="B8:B10"/>
    <mergeCell ref="B54:B55"/>
    <mergeCell ref="I1:J1"/>
    <mergeCell ref="A8:A15"/>
    <mergeCell ref="G1:H1"/>
    <mergeCell ref="B44:B46"/>
    <mergeCell ref="B60:B62"/>
    <mergeCell ref="A3:A7"/>
    <mergeCell ref="B19:B21"/>
    <mergeCell ref="A22:A29"/>
    <mergeCell ref="A40:A43"/>
    <mergeCell ref="K1:M1"/>
  </mergeCells>
  <dataValidations count="2">
    <dataValidation sqref="E3:E62" showDropDown="0" showInputMessage="0" showErrorMessage="0" allowBlank="0" type="list">
      <formula1>"Baja,Media,Alta"</formula1>
    </dataValidation>
    <dataValidation sqref="L3:L62" showDropDown="0" showInputMessage="0" showErrorMessage="0" allowBlank="0" type="list">
      <formula1>"Alta,Media,Baja"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9.300000000000001" customWidth="1" min="1" max="1"/>
    <col width="65.90000000000001" customWidth="1" min="2" max="2"/>
    <col width="22" customWidth="1" min="3" max="3"/>
    <col width="26" customWidth="1" min="4" max="4"/>
    <col width="55" customWidth="1" min="5" max="5"/>
  </cols>
  <sheetData>
    <row r="1">
      <c r="A1" s="166" t="inlineStr">
        <is>
          <t>ESTÁNDAR ISO/IEC 25010</t>
        </is>
      </c>
      <c r="B1" s="167" t="n"/>
      <c r="C1" s="167" t="n"/>
      <c r="D1" s="167" t="n"/>
      <c r="E1" s="167" t="n"/>
    </row>
    <row r="2">
      <c r="A2" s="168" t="inlineStr">
        <is>
          <t>REQUISITOS NO FUNCIONALES</t>
        </is>
      </c>
      <c r="B2" s="169" t="n"/>
      <c r="C2" s="169" t="n"/>
      <c r="D2" s="169" t="n"/>
      <c r="E2" s="169" t="n"/>
    </row>
    <row r="3" ht="30" customHeight="1">
      <c r="A3" s="170" t="inlineStr">
        <is>
          <t>Nro.</t>
        </is>
      </c>
      <c r="B3" s="170" t="inlineStr">
        <is>
          <t>Descripción</t>
        </is>
      </c>
      <c r="C3" s="170" t="inlineStr">
        <is>
          <t>Atributo (característica)</t>
        </is>
      </c>
      <c r="D3" s="170" t="inlineStr">
        <is>
          <t>Criterios (subcaracterística)</t>
        </is>
      </c>
      <c r="E3" s="170" t="inlineStr">
        <is>
          <t>Métrica / criterio de aceptación</t>
        </is>
      </c>
    </row>
    <row r="4" ht="36" customHeight="1">
      <c r="A4" s="171" t="inlineStr">
        <is>
          <t>RNF-01</t>
        </is>
      </c>
      <c r="B4" s="171" t="inlineStr">
        <is>
          <t>El sistema debe permitir que los usuarios comprendan y usen las funciones sin capacitación previa.</t>
        </is>
      </c>
      <c r="C4" s="172" t="inlineStr">
        <is>
          <t>Usabilidad</t>
        </is>
      </c>
      <c r="D4" s="170" t="inlineStr">
        <is>
          <t>Facilidad de aprendizaje</t>
        </is>
      </c>
      <c r="E4" s="171" t="inlineStr">
        <is>
          <t>4 de cada 5 usuarios de prueba completan registro y compra en ≤ 5 minutos sin ayuda.</t>
        </is>
      </c>
    </row>
    <row r="5" ht="36" customHeight="1">
      <c r="A5" s="171" t="inlineStr">
        <is>
          <t>RNF-02</t>
        </is>
      </c>
      <c r="B5" s="171" t="inlineStr">
        <is>
          <t>Solo los usuarios autenticados pueden usar las funciones internas, según su rol.</t>
        </is>
      </c>
      <c r="C5" s="173" t="inlineStr">
        <is>
          <t>Seguridad</t>
        </is>
      </c>
      <c r="D5" s="170" t="inlineStr">
        <is>
          <t>Autenticidad</t>
        </is>
      </c>
      <c r="E5" s="171" t="inlineStr">
        <is>
          <t>El 100 % de las rutas protegidas de la API responden 401 sin token y 403 con un rol distinto.</t>
        </is>
      </c>
    </row>
    <row r="6" ht="36" customHeight="1">
      <c r="A6" s="171" t="inlineStr">
        <is>
          <t>RNF-03</t>
        </is>
      </c>
      <c r="B6" s="171" t="inlineStr">
        <is>
          <t>El sistema debe validar la información que ingresan los usuarios para evitar datos incompletos o incorrectos.</t>
        </is>
      </c>
      <c r="C6" s="172" t="inlineStr">
        <is>
          <t>Adecuación funcional</t>
        </is>
      </c>
      <c r="D6" s="170" t="inlineStr">
        <is>
          <t>Corrección funcional</t>
        </is>
      </c>
      <c r="E6" s="171" t="inlineStr">
        <is>
          <t>Todo formulario rechaza campos obligatorios vacíos y formatos inválidos, en el navegador y en el backend.</t>
        </is>
      </c>
    </row>
    <row r="7" ht="36" customHeight="1">
      <c r="A7" s="171" t="inlineStr">
        <is>
          <t>RNF-04</t>
        </is>
      </c>
      <c r="B7" s="171" t="inlineStr">
        <is>
          <t>Todas las funciones definidas en el alcance deben estar disponibles y operativas.</t>
        </is>
      </c>
      <c r="C7" s="122" t="n"/>
      <c r="D7" s="170" t="inlineStr">
        <is>
          <t>Completitud funcional</t>
        </is>
      </c>
      <c r="E7" s="171" t="inlineStr">
        <is>
          <t>100 % de los RF de prioridad Alta funcionando antes de la entrega.</t>
        </is>
      </c>
    </row>
    <row r="8" ht="36" customHeight="1">
      <c r="A8" s="171" t="inlineStr">
        <is>
          <t>RNF-05</t>
        </is>
      </c>
      <c r="B8" s="171" t="inlineStr">
        <is>
          <t>El sistema debe responder con rapidez al cargar el catálogo y al navegar.</t>
        </is>
      </c>
      <c r="C8" s="173" t="inlineStr">
        <is>
          <t>Eficiencia de desempeño</t>
        </is>
      </c>
      <c r="D8" s="170" t="inlineStr">
        <is>
          <t>Comportamiento temporal</t>
        </is>
      </c>
      <c r="E8" s="171" t="inlineStr">
        <is>
          <t>Consultas de catálogo ≤ 200 ms (percentil 95). Carga de cada página ≤ 3 s en conexión 4G.</t>
        </is>
      </c>
    </row>
    <row r="9" ht="36" customHeight="1">
      <c r="A9" s="171" t="inlineStr">
        <is>
          <t>RNF-06</t>
        </is>
      </c>
      <c r="B9" s="171" t="inlineStr">
        <is>
          <t>El sistema debe verse y funcionar correctamente en los navegadores más usados.</t>
        </is>
      </c>
      <c r="C9" s="172" t="inlineStr">
        <is>
          <t>Portabilidad</t>
        </is>
      </c>
      <c r="D9" s="170" t="inlineStr">
        <is>
          <t>Adaptabilidad</t>
        </is>
      </c>
      <c r="E9" s="171" t="inlineStr">
        <is>
          <t>Chrome, Edge y Firefox en sus dos últimas versiones, sin errores de visualización.</t>
        </is>
      </c>
    </row>
    <row r="10" ht="36" customHeight="1">
      <c r="A10" s="171" t="inlineStr">
        <is>
          <t>RNF-07</t>
        </is>
      </c>
      <c r="B10" s="171" t="inlineStr">
        <is>
          <t>El sistema debe adaptarse a diferentes tamaños de pantalla y dispositivos.</t>
        </is>
      </c>
      <c r="C10" s="122" t="n"/>
      <c r="D10" s="170" t="inlineStr">
        <is>
          <t>Adaptabilidad</t>
        </is>
      </c>
      <c r="E10" s="171" t="inlineStr">
        <is>
          <t>Sin desplazamiento horizontal desde 360 px de ancho; menú adaptado en celular.</t>
        </is>
      </c>
    </row>
    <row r="11" ht="36" customHeight="1">
      <c r="A11" s="171" t="inlineStr">
        <is>
          <t>RNF-08</t>
        </is>
      </c>
      <c r="B11" s="171" t="inlineStr">
        <is>
          <t>La API debe poder usarse desde la aplicación web y la aplicación Android.</t>
        </is>
      </c>
      <c r="C11" s="173" t="inlineStr">
        <is>
          <t>Compatibilidad</t>
        </is>
      </c>
      <c r="D11" s="170" t="inlineStr">
        <is>
          <t>Interoperabilidad</t>
        </is>
      </c>
      <c r="E11" s="171" t="inlineStr">
        <is>
          <t>API REST con JSON documentada en OpenAPI 3.0; las dos aplicaciones usan los mismos endpoints.</t>
        </is>
      </c>
    </row>
    <row r="12" ht="36" customHeight="1">
      <c r="A12" s="171" t="inlineStr">
        <is>
          <t>RNF-09</t>
        </is>
      </c>
      <c r="B12" s="171" t="inlineStr">
        <is>
          <t>El sistema debe permitir mantenimiento y ajustes sin afectar su funcionamiento general.</t>
        </is>
      </c>
      <c r="C12" s="172" t="inlineStr">
        <is>
          <t>Mantenibilidad</t>
        </is>
      </c>
      <c r="D12" s="170" t="inlineStr">
        <is>
          <t>Modularidad</t>
        </is>
      </c>
      <c r="E12" s="171" t="inlineStr">
        <is>
          <t>Backend separado en capas dominio, aplicación e infraestructura; cobertura de pruebas ≥ 70 % en los servicios.</t>
        </is>
      </c>
    </row>
    <row r="13" ht="36" customHeight="1">
      <c r="A13" s="171" t="inlineStr">
        <is>
          <t>RNF-10</t>
        </is>
      </c>
      <c r="B13" s="171" t="inlineStr">
        <is>
          <t>El sistema debe estar disponible para los usuarios durante la operación del negocio.</t>
        </is>
      </c>
      <c r="C13" s="173" t="inlineStr">
        <is>
          <t>Fiabilidad</t>
        </is>
      </c>
      <c r="D13" s="170" t="inlineStr">
        <is>
          <t>Disponibilidad</t>
        </is>
      </c>
      <c r="E13" s="171" t="inlineStr">
        <is>
          <t>Disponibilidad ≥ 99,5 % anual.</t>
        </is>
      </c>
    </row>
    <row r="14" ht="36" customHeight="1">
      <c r="A14" s="171" t="inlineStr">
        <is>
          <t>RNF-11</t>
        </is>
      </c>
      <c r="B14" s="171" t="inlineStr">
        <is>
          <t>El sistema debe comportarse de forma estable durante su uso continuo.</t>
        </is>
      </c>
      <c r="C14" s="121" t="n"/>
      <c r="D14" s="170" t="inlineStr">
        <is>
          <t>Madurez</t>
        </is>
      </c>
      <c r="E14" s="171" t="inlineStr">
        <is>
          <t>Cero errores 500 al recorrer todas las pantallas de cada rol.</t>
        </is>
      </c>
    </row>
    <row r="15" ht="36" customHeight="1">
      <c r="A15" s="171" t="inlineStr">
        <is>
          <t>RNF-12</t>
        </is>
      </c>
      <c r="B15" s="171" t="inlineStr">
        <is>
          <t>El sistema debe evitar la sobreventa cuando varios clientes compran la misma tela a la vez.</t>
        </is>
      </c>
      <c r="C15" s="121" t="n"/>
      <c r="D15" s="170" t="inlineStr">
        <is>
          <t>Tolerancia a fallos</t>
        </is>
      </c>
      <c r="E15" s="171" t="inlineStr">
        <is>
          <t>50 compras simultáneas del mismo producto sin stock negativo ni pedidos inconsistentes.</t>
        </is>
      </c>
    </row>
    <row r="16" ht="36" customHeight="1">
      <c r="A16" s="171" t="inlineStr">
        <is>
          <t>RNF-13</t>
        </is>
      </c>
      <c r="B16" s="171" t="inlineStr">
        <is>
          <t>El sistema debe informar al usuario cuando ocurra un error y permitirle continuar.</t>
        </is>
      </c>
      <c r="C16" s="122" t="n"/>
      <c r="D16" s="170" t="inlineStr">
        <is>
          <t>Capacidad de recuperación</t>
        </is>
      </c>
      <c r="E16" s="171" t="inlineStr">
        <is>
          <t>Todo error muestra un mensaje claro. Respaldo diario de la base: RPO ≤ 15 min, RTO ≤ 2 h.</t>
        </is>
      </c>
    </row>
    <row r="17" ht="36" customHeight="1">
      <c r="A17" s="171" t="inlineStr">
        <is>
          <t>RNF-14</t>
        </is>
      </c>
      <c r="B17" s="171" t="inlineStr">
        <is>
          <t>Las contraseñas y los datos de pago deben protegerse.</t>
        </is>
      </c>
      <c r="C17" s="172" t="inlineStr">
        <is>
          <t>Seguridad</t>
        </is>
      </c>
      <c r="D17" s="170" t="inlineStr">
        <is>
          <t>Confidencialidad</t>
        </is>
      </c>
      <c r="E17" s="171" t="inlineStr">
        <is>
          <t>Contraseñas solo como hash. Nunca se guarda el número completo de la tarjeta ni el CVV (PCI-DSS).</t>
        </is>
      </c>
    </row>
    <row r="18" ht="36" customHeight="1">
      <c r="A18" s="171" t="inlineStr">
        <is>
          <t>RNF-15</t>
        </is>
      </c>
      <c r="B18" s="171" t="inlineStr">
        <is>
          <t>El sistema debe resistir ataques comunes a la API.</t>
        </is>
      </c>
      <c r="C18" s="121" t="n"/>
      <c r="D18" s="170" t="inlineStr">
        <is>
          <t>Integridad</t>
        </is>
      </c>
      <c r="E18" s="171" t="inlineStr">
        <is>
          <t>Sin inyección SQL ni acceso a archivos fuera de /uploads. Máximo 120 peticiones por minuto por cliente real.</t>
        </is>
      </c>
    </row>
    <row r="19" ht="36" customHeight="1">
      <c r="A19" s="171" t="inlineStr">
        <is>
          <t>RNF-16</t>
        </is>
      </c>
      <c r="B19" s="171" t="inlineStr">
        <is>
          <t>Las acciones del sistema deben quedar registradas para auditoría.</t>
        </is>
      </c>
      <c r="C19" s="121" t="n"/>
      <c r="D19" s="170" t="inlineStr">
        <is>
          <t>Responsabilidad</t>
        </is>
      </c>
      <c r="E19" s="171" t="inlineStr">
        <is>
          <t>Cada petición deja un log JSON con fecha, ruta, estado e identificador de correlación.</t>
        </is>
      </c>
    </row>
    <row r="20" ht="36" customHeight="1">
      <c r="A20" s="171" t="inlineStr">
        <is>
          <t>RNF-17</t>
        </is>
      </c>
      <c r="B20" s="171" t="inlineStr">
        <is>
          <t>El tratamiento de datos personales debe cumplir la Ley 1581 de 2012 (Habeas Data).</t>
        </is>
      </c>
      <c r="C20" s="122" t="n"/>
      <c r="D20" s="170" t="inlineStr">
        <is>
          <t>Confidencialidad</t>
        </is>
      </c>
      <c r="E20" s="171" t="inlineStr">
        <is>
          <t>Consentimiento expreso en el registro y procedimiento para suprimir los datos de un usuario.</t>
        </is>
      </c>
    </row>
    <row r="21" ht="36" customHeight="1">
      <c r="A21" s="171" t="inlineStr">
        <is>
          <t>RNF-18</t>
        </is>
      </c>
      <c r="B21" s="171" t="inlineStr">
        <is>
          <t>La interfaz debe ser accesible para personas con discapacidad visual o motriz.</t>
        </is>
      </c>
      <c r="C21" s="173" t="inlineStr">
        <is>
          <t>Usabilidad</t>
        </is>
      </c>
      <c r="D21" s="170" t="inlineStr">
        <is>
          <t>Accesibilidad</t>
        </is>
      </c>
      <c r="E21" s="171" t="inlineStr">
        <is>
          <t>Puntaje de accesibilidad de Lighthouse ≥ 90 y contraste WCAG 2.1 AA.</t>
        </is>
      </c>
    </row>
  </sheetData>
  <mergeCells count="6">
    <mergeCell ref="C9:C10"/>
    <mergeCell ref="C13:C16"/>
    <mergeCell ref="A2:E2"/>
    <mergeCell ref="C17:C20"/>
    <mergeCell ref="A1:E1"/>
    <mergeCell ref="C6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" customWidth="1" min="1" max="1"/>
    <col width="7.5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6.5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</cols>
  <sheetData>
    <row r="1" ht="21.75" customHeight="1">
      <c r="A1" s="174" t="inlineStr">
        <is>
          <t>Requisito / Elemento</t>
        </is>
      </c>
      <c r="C1" s="175" t="inlineStr">
        <is>
          <t>Casos de Uso (A)</t>
        </is>
      </c>
      <c r="D1" s="175" t="n"/>
      <c r="E1" s="175" t="n"/>
      <c r="F1" s="175" t="n"/>
      <c r="G1" s="175" t="n"/>
      <c r="H1" s="175" t="n"/>
      <c r="I1" s="175" t="n"/>
      <c r="J1" s="175" t="n"/>
      <c r="K1" s="175" t="n"/>
      <c r="L1" s="175" t="n"/>
      <c r="M1" s="175" t="n"/>
      <c r="N1" s="175" t="n"/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  <c r="AC1" s="175" t="n"/>
      <c r="AD1" s="175" t="n"/>
      <c r="AE1" s="175" t="n"/>
      <c r="AF1" s="175" t="n"/>
      <c r="AG1" s="175" t="n"/>
      <c r="AH1" s="176" t="inlineStr">
        <is>
          <t>Clases de diseño</t>
        </is>
      </c>
      <c r="AI1" s="176" t="n"/>
      <c r="AJ1" s="176" t="n"/>
      <c r="AK1" s="176" t="n"/>
      <c r="AL1" s="176" t="n"/>
      <c r="AM1" s="176" t="n"/>
      <c r="AN1" s="176" t="n"/>
      <c r="AO1" s="176" t="n"/>
      <c r="AP1" s="176" t="n"/>
      <c r="AQ1" s="176" t="n"/>
      <c r="AR1" s="176" t="n"/>
      <c r="AS1" s="176" t="n"/>
      <c r="AT1" s="176" t="n"/>
      <c r="AU1" s="176" t="n"/>
      <c r="AV1" s="176" t="n"/>
      <c r="AW1" s="176" t="n"/>
    </row>
    <row r="2" ht="128" customHeight="1">
      <c r="C2" s="177" t="inlineStr">
        <is>
          <t>CU-01 Explorar catálogo</t>
        </is>
      </c>
      <c r="D2" s="177" t="inlineStr">
        <is>
          <t>CU-02 Consultar ficha de tela</t>
        </is>
      </c>
      <c r="E2" s="177" t="inlineStr">
        <is>
          <t>CU-03 Registrarse</t>
        </is>
      </c>
      <c r="F2" s="177" t="inlineStr">
        <is>
          <t>CU-04 Iniciar sesión</t>
        </is>
      </c>
      <c r="G2" s="177" t="inlineStr">
        <is>
          <t>CU-05 Gestionar carrito</t>
        </is>
      </c>
      <c r="H2" s="177" t="inlineStr">
        <is>
          <t>CU-06 Realizar compra</t>
        </is>
      </c>
      <c r="I2" s="177" t="inlineStr">
        <is>
          <t>CU-07 Consultar pedidos</t>
        </is>
      </c>
      <c r="J2" s="177" t="inlineStr">
        <is>
          <t>CU-08 Calificar tela</t>
        </is>
      </c>
      <c r="K2" s="177" t="inlineStr">
        <is>
          <t>CU-09 Gestionar soporte</t>
        </is>
      </c>
      <c r="L2" s="177" t="inlineStr">
        <is>
          <t>CU-10 Lista de deseos</t>
        </is>
      </c>
      <c r="M2" s="177" t="inlineStr">
        <is>
          <t>CU-11 Calcular metraje</t>
        </is>
      </c>
      <c r="N2" s="177" t="inlineStr">
        <is>
          <t>CU-12 Perfil y direcciones</t>
        </is>
      </c>
      <c r="O2" s="177" t="inlineStr">
        <is>
          <t>CU-13 Contactar a la tienda</t>
        </is>
      </c>
      <c r="P2" s="177" t="inlineStr">
        <is>
          <t>CU-14 Reportar un fallo</t>
        </is>
      </c>
      <c r="Q2" s="177" t="inlineStr">
        <is>
          <t>CU-15 Gestionar mis productos</t>
        </is>
      </c>
      <c r="R2" s="177" t="inlineStr">
        <is>
          <t>CU-16 Alertas de stock</t>
        </is>
      </c>
      <c r="S2" s="177" t="inlineStr">
        <is>
          <t>CU-17 Pedidos del vendedor</t>
        </is>
      </c>
      <c r="T2" s="177" t="inlineStr">
        <is>
          <t>CU-18 Gestionar usuarios</t>
        </is>
      </c>
      <c r="U2" s="177" t="inlineStr">
        <is>
          <t>CU-19 Moderar productos</t>
        </is>
      </c>
      <c r="V2" s="177" t="inlineStr">
        <is>
          <t>CU-20 Rendimiento vendedores</t>
        </is>
      </c>
      <c r="W2" s="177" t="inlineStr">
        <is>
          <t>CU-21 Catálogo completo</t>
        </is>
      </c>
      <c r="X2" s="177" t="inlineStr">
        <is>
          <t>CU-22 Contenido del inicio</t>
        </is>
      </c>
      <c r="Y2" s="177" t="inlineStr">
        <is>
          <t>CU-23 Lotes de inventario</t>
        </is>
      </c>
      <c r="Z2" s="177" t="inlineStr">
        <is>
          <t>CU-24 Registrar merma</t>
        </is>
      </c>
      <c r="AA2" s="177" t="inlineStr">
        <is>
          <t>CU-25 Umbrales de stock</t>
        </is>
      </c>
      <c r="AB2" s="177" t="inlineStr">
        <is>
          <t>CU-26 Gestionar facturas</t>
        </is>
      </c>
      <c r="AC2" s="177" t="inlineStr">
        <is>
          <t>CU-27 Crear cupones</t>
        </is>
      </c>
      <c r="AD2" s="177" t="inlineStr">
        <is>
          <t>CU-28 Tickets y reportes</t>
        </is>
      </c>
      <c r="AE2" s="177" t="inlineStr">
        <is>
          <t>CU-29 Analítica y reportes</t>
        </is>
      </c>
      <c r="AF2" s="177" t="inlineStr">
        <is>
          <t>CU-30 Configurar el sistema</t>
        </is>
      </c>
      <c r="AG2" s="178" t="inlineStr">
        <is>
          <t>N.º de CU</t>
        </is>
      </c>
      <c r="AH2" s="179" t="inlineStr">
        <is>
          <t>Usuario</t>
        </is>
      </c>
      <c r="AI2" s="179" t="inlineStr">
        <is>
          <t>Producto</t>
        </is>
      </c>
      <c r="AJ2" s="179" t="inlineStr">
        <is>
          <t>Resena</t>
        </is>
      </c>
      <c r="AK2" s="179" t="inlineStr">
        <is>
          <t>ItemCarrito</t>
        </is>
      </c>
      <c r="AL2" s="179" t="inlineStr">
        <is>
          <t>Pedido</t>
        </is>
      </c>
      <c r="AM2" s="179" t="inlineStr">
        <is>
          <t>Cupon</t>
        </is>
      </c>
      <c r="AN2" s="179" t="inlineStr">
        <is>
          <t>LoteInventario</t>
        </is>
      </c>
      <c r="AO2" s="179" t="inlineStr">
        <is>
          <t>EventoMerma</t>
        </is>
      </c>
      <c r="AP2" s="179" t="inlineStr">
        <is>
          <t>UmbralStock</t>
        </is>
      </c>
      <c r="AQ2" s="179" t="inlineStr">
        <is>
          <t>TicketSoporte</t>
        </is>
      </c>
      <c r="AR2" s="179" t="inlineStr">
        <is>
          <t>ReporteError</t>
        </is>
      </c>
      <c r="AS2" s="179" t="inlineStr">
        <is>
          <t>Contenido inicio</t>
        </is>
      </c>
      <c r="AT2" s="179" t="inlineStr">
        <is>
          <t>ItemConfiguracion</t>
        </is>
      </c>
      <c r="AU2" s="179" t="inlineStr">
        <is>
          <t>ServicioAutenticacion</t>
        </is>
      </c>
      <c r="AV2" s="179" t="inlineStr">
        <is>
          <t>ServicioFactura</t>
        </is>
      </c>
      <c r="AW2" s="179" t="inlineStr">
        <is>
          <t>ServicioCorteTextil</t>
        </is>
      </c>
    </row>
    <row r="3" ht="21" customHeight="1">
      <c r="A3" s="180" t="inlineStr">
        <is>
          <t>Requisitos (B)</t>
        </is>
      </c>
      <c r="B3" s="181" t="inlineStr">
        <is>
          <t>RF-01</t>
        </is>
      </c>
      <c r="C3" s="182" t="n"/>
      <c r="D3" s="182" t="n"/>
      <c r="E3" s="182" t="inlineStr">
        <is>
          <t>x</t>
        </is>
      </c>
      <c r="F3" s="182" t="n"/>
      <c r="G3" s="182" t="n"/>
      <c r="H3" s="182" t="n"/>
      <c r="I3" s="182" t="n"/>
      <c r="J3" s="182" t="n"/>
      <c r="K3" s="182" t="n"/>
      <c r="L3" s="182" t="n"/>
      <c r="M3" s="182" t="n"/>
      <c r="N3" s="182" t="n"/>
      <c r="O3" s="182" t="n"/>
      <c r="P3" s="182" t="n"/>
      <c r="Q3" s="182" t="n"/>
      <c r="R3" s="182" t="n"/>
      <c r="S3" s="182" t="n"/>
      <c r="T3" s="182" t="n"/>
      <c r="U3" s="182" t="n"/>
      <c r="V3" s="182" t="n"/>
      <c r="W3" s="182" t="n"/>
      <c r="X3" s="182" t="n"/>
      <c r="Y3" s="182" t="n"/>
      <c r="Z3" s="182" t="n"/>
      <c r="AA3" s="182" t="n"/>
      <c r="AB3" s="182" t="n"/>
      <c r="AC3" s="182" t="n"/>
      <c r="AD3" s="182" t="n"/>
      <c r="AE3" s="182" t="n"/>
      <c r="AF3" s="182" t="n"/>
      <c r="AG3" s="183">
        <f>COUNTIF(C3:AF3,"x")</f>
        <v/>
      </c>
      <c r="AH3" s="182" t="inlineStr">
        <is>
          <t>x</t>
        </is>
      </c>
      <c r="AI3" s="182" t="n"/>
      <c r="AJ3" s="182" t="n"/>
      <c r="AK3" s="182" t="n"/>
      <c r="AL3" s="182" t="n"/>
      <c r="AM3" s="182" t="n"/>
      <c r="AN3" s="182" t="n"/>
      <c r="AO3" s="182" t="n"/>
      <c r="AP3" s="182" t="n"/>
      <c r="AQ3" s="182" t="n"/>
      <c r="AR3" s="182" t="n"/>
      <c r="AS3" s="182" t="n"/>
      <c r="AT3" s="182" t="n"/>
      <c r="AU3" s="182" t="inlineStr">
        <is>
          <t>x</t>
        </is>
      </c>
      <c r="AV3" s="182" t="n"/>
      <c r="AW3" s="182" t="n"/>
    </row>
    <row r="4" ht="21" customHeight="1">
      <c r="B4" s="181" t="inlineStr">
        <is>
          <t>RF-02</t>
        </is>
      </c>
      <c r="C4" s="182" t="n"/>
      <c r="D4" s="182" t="n"/>
      <c r="E4" s="182" t="n"/>
      <c r="F4" s="182" t="inlineStr">
        <is>
          <t>x</t>
        </is>
      </c>
      <c r="G4" s="182" t="n"/>
      <c r="H4" s="182" t="n"/>
      <c r="I4" s="182" t="n"/>
      <c r="J4" s="182" t="n"/>
      <c r="K4" s="182" t="n"/>
      <c r="L4" s="182" t="n"/>
      <c r="M4" s="182" t="n"/>
      <c r="N4" s="182" t="n"/>
      <c r="O4" s="182" t="n"/>
      <c r="P4" s="182" t="n"/>
      <c r="Q4" s="182" t="n"/>
      <c r="R4" s="182" t="n"/>
      <c r="S4" s="182" t="n"/>
      <c r="T4" s="182" t="n"/>
      <c r="U4" s="182" t="n"/>
      <c r="V4" s="182" t="n"/>
      <c r="W4" s="182" t="n"/>
      <c r="X4" s="182" t="n"/>
      <c r="Y4" s="182" t="n"/>
      <c r="Z4" s="182" t="n"/>
      <c r="AA4" s="182" t="n"/>
      <c r="AB4" s="182" t="n"/>
      <c r="AC4" s="182" t="n"/>
      <c r="AD4" s="182" t="n"/>
      <c r="AE4" s="182" t="n"/>
      <c r="AF4" s="182" t="n"/>
      <c r="AG4" s="183">
        <f>COUNTIF(C4:AF4,"x")</f>
        <v/>
      </c>
      <c r="AH4" s="182" t="inlineStr">
        <is>
          <t>x</t>
        </is>
      </c>
      <c r="AI4" s="182" t="n"/>
      <c r="AJ4" s="182" t="n"/>
      <c r="AK4" s="182" t="n"/>
      <c r="AL4" s="182" t="n"/>
      <c r="AM4" s="182" t="n"/>
      <c r="AN4" s="182" t="n"/>
      <c r="AO4" s="182" t="n"/>
      <c r="AP4" s="182" t="n"/>
      <c r="AQ4" s="182" t="n"/>
      <c r="AR4" s="182" t="n"/>
      <c r="AS4" s="182" t="n"/>
      <c r="AT4" s="182" t="n"/>
      <c r="AU4" s="182" t="inlineStr">
        <is>
          <t>x</t>
        </is>
      </c>
      <c r="AV4" s="182" t="n"/>
      <c r="AW4" s="182" t="n"/>
    </row>
    <row r="5" ht="21" customHeight="1">
      <c r="B5" s="181" t="inlineStr">
        <is>
          <t>RF-03</t>
        </is>
      </c>
      <c r="C5" s="182" t="n"/>
      <c r="D5" s="182" t="n"/>
      <c r="E5" s="182" t="n"/>
      <c r="F5" s="182" t="inlineStr">
        <is>
          <t>x</t>
        </is>
      </c>
      <c r="G5" s="182" t="n"/>
      <c r="H5" s="182" t="n"/>
      <c r="I5" s="182" t="n"/>
      <c r="J5" s="182" t="n"/>
      <c r="K5" s="182" t="n"/>
      <c r="L5" s="182" t="n"/>
      <c r="M5" s="182" t="n"/>
      <c r="N5" s="182" t="n"/>
      <c r="O5" s="182" t="n"/>
      <c r="P5" s="182" t="n"/>
      <c r="Q5" s="182" t="n"/>
      <c r="R5" s="182" t="n"/>
      <c r="S5" s="182" t="n"/>
      <c r="T5" s="182" t="inlineStr">
        <is>
          <t>x</t>
        </is>
      </c>
      <c r="U5" s="182" t="n"/>
      <c r="V5" s="182" t="n"/>
      <c r="W5" s="182" t="n"/>
      <c r="X5" s="182" t="n"/>
      <c r="Y5" s="182" t="n"/>
      <c r="Z5" s="182" t="n"/>
      <c r="AA5" s="182" t="n"/>
      <c r="AB5" s="182" t="n"/>
      <c r="AC5" s="182" t="n"/>
      <c r="AD5" s="182" t="n"/>
      <c r="AE5" s="182" t="n"/>
      <c r="AF5" s="182" t="n"/>
      <c r="AG5" s="183">
        <f>COUNTIF(C5:AF5,"x")</f>
        <v/>
      </c>
      <c r="AH5" s="182" t="inlineStr">
        <is>
          <t>x</t>
        </is>
      </c>
      <c r="AI5" s="182" t="n"/>
      <c r="AJ5" s="182" t="n"/>
      <c r="AK5" s="182" t="n"/>
      <c r="AL5" s="182" t="n"/>
      <c r="AM5" s="182" t="n"/>
      <c r="AN5" s="182" t="n"/>
      <c r="AO5" s="182" t="n"/>
      <c r="AP5" s="182" t="n"/>
      <c r="AQ5" s="182" t="n"/>
      <c r="AR5" s="182" t="n"/>
      <c r="AS5" s="182" t="n"/>
      <c r="AT5" s="182" t="n"/>
      <c r="AU5" s="182" t="n"/>
      <c r="AV5" s="182" t="n"/>
      <c r="AW5" s="182" t="n"/>
    </row>
    <row r="6" ht="21" customHeight="1">
      <c r="B6" s="181" t="inlineStr">
        <is>
          <t>RF-04</t>
        </is>
      </c>
      <c r="C6" s="182" t="n"/>
      <c r="D6" s="182" t="n"/>
      <c r="E6" s="182" t="n"/>
      <c r="F6" s="182" t="n"/>
      <c r="G6" s="182" t="n"/>
      <c r="H6" s="182" t="n"/>
      <c r="I6" s="182" t="n"/>
      <c r="J6" s="182" t="n"/>
      <c r="K6" s="182" t="n"/>
      <c r="L6" s="182" t="n"/>
      <c r="M6" s="182" t="n"/>
      <c r="N6" s="182" t="inlineStr">
        <is>
          <t>x</t>
        </is>
      </c>
      <c r="O6" s="182" t="n"/>
      <c r="P6" s="182" t="n"/>
      <c r="Q6" s="182" t="n"/>
      <c r="R6" s="182" t="n"/>
      <c r="S6" s="182" t="n"/>
      <c r="T6" s="182" t="n"/>
      <c r="U6" s="182" t="n"/>
      <c r="V6" s="182" t="n"/>
      <c r="W6" s="182" t="n"/>
      <c r="X6" s="182" t="n"/>
      <c r="Y6" s="182" t="n"/>
      <c r="Z6" s="182" t="n"/>
      <c r="AA6" s="182" t="n"/>
      <c r="AB6" s="182" t="n"/>
      <c r="AC6" s="182" t="n"/>
      <c r="AD6" s="182" t="n"/>
      <c r="AE6" s="182" t="n"/>
      <c r="AF6" s="182" t="n"/>
      <c r="AG6" s="183">
        <f>COUNTIF(C6:AF6,"x")</f>
        <v/>
      </c>
      <c r="AH6" s="182" t="inlineStr">
        <is>
          <t>x</t>
        </is>
      </c>
      <c r="AI6" s="182" t="n"/>
      <c r="AJ6" s="182" t="n"/>
      <c r="AK6" s="182" t="n"/>
      <c r="AL6" s="182" t="n"/>
      <c r="AM6" s="182" t="n"/>
      <c r="AN6" s="182" t="n"/>
      <c r="AO6" s="182" t="n"/>
      <c r="AP6" s="182" t="n"/>
      <c r="AQ6" s="182" t="n"/>
      <c r="AR6" s="182" t="n"/>
      <c r="AS6" s="182" t="n"/>
      <c r="AT6" s="182" t="n"/>
      <c r="AU6" s="182" t="n"/>
      <c r="AV6" s="182" t="n"/>
      <c r="AW6" s="182" t="n"/>
    </row>
    <row r="7" ht="21" customHeight="1">
      <c r="B7" s="181" t="inlineStr">
        <is>
          <t>RF-05</t>
        </is>
      </c>
      <c r="C7" s="182" t="n"/>
      <c r="D7" s="182" t="n"/>
      <c r="E7" s="182" t="n"/>
      <c r="F7" s="182" t="n"/>
      <c r="G7" s="182" t="n"/>
      <c r="H7" s="182" t="n"/>
      <c r="I7" s="182" t="n"/>
      <c r="J7" s="182" t="n"/>
      <c r="K7" s="182" t="n"/>
      <c r="L7" s="182" t="n"/>
      <c r="M7" s="182" t="n"/>
      <c r="N7" s="182" t="n"/>
      <c r="O7" s="182" t="n"/>
      <c r="P7" s="182" t="n"/>
      <c r="Q7" s="182" t="inlineStr">
        <is>
          <t>x</t>
        </is>
      </c>
      <c r="R7" s="182" t="n"/>
      <c r="S7" s="182" t="n"/>
      <c r="T7" s="182" t="n"/>
      <c r="U7" s="182" t="n"/>
      <c r="V7" s="182" t="n"/>
      <c r="W7" s="182" t="n"/>
      <c r="X7" s="182" t="n"/>
      <c r="Y7" s="182" t="n"/>
      <c r="Z7" s="182" t="n"/>
      <c r="AA7" s="182" t="n"/>
      <c r="AB7" s="182" t="n"/>
      <c r="AC7" s="182" t="n"/>
      <c r="AD7" s="182" t="n"/>
      <c r="AE7" s="182" t="n"/>
      <c r="AF7" s="182" t="n"/>
      <c r="AG7" s="183">
        <f>COUNTIF(C7:AF7,"x")</f>
        <v/>
      </c>
      <c r="AH7" s="182" t="n"/>
      <c r="AI7" s="182" t="inlineStr">
        <is>
          <t>x</t>
        </is>
      </c>
      <c r="AJ7" s="182" t="n"/>
      <c r="AK7" s="182" t="n"/>
      <c r="AL7" s="182" t="n"/>
      <c r="AM7" s="182" t="n"/>
      <c r="AN7" s="182" t="n"/>
      <c r="AO7" s="182" t="n"/>
      <c r="AP7" s="182" t="n"/>
      <c r="AQ7" s="182" t="n"/>
      <c r="AR7" s="182" t="n"/>
      <c r="AS7" s="182" t="n"/>
      <c r="AT7" s="182" t="n"/>
      <c r="AU7" s="182" t="n"/>
      <c r="AV7" s="182" t="n"/>
      <c r="AW7" s="182" t="n"/>
    </row>
    <row r="8" ht="21" customHeight="1">
      <c r="B8" s="181" t="inlineStr">
        <is>
          <t>RF-06</t>
        </is>
      </c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2" t="n"/>
      <c r="O8" s="182" t="n"/>
      <c r="P8" s="182" t="n"/>
      <c r="Q8" s="182" t="inlineStr">
        <is>
          <t>x</t>
        </is>
      </c>
      <c r="R8" s="182" t="n"/>
      <c r="S8" s="182" t="n"/>
      <c r="T8" s="182" t="n"/>
      <c r="U8" s="182" t="n"/>
      <c r="V8" s="182" t="n"/>
      <c r="W8" s="182" t="inlineStr">
        <is>
          <t>x</t>
        </is>
      </c>
      <c r="X8" s="182" t="n"/>
      <c r="Y8" s="182" t="n"/>
      <c r="Z8" s="182" t="n"/>
      <c r="AA8" s="182" t="n"/>
      <c r="AB8" s="182" t="n"/>
      <c r="AC8" s="182" t="n"/>
      <c r="AD8" s="182" t="n"/>
      <c r="AE8" s="182" t="n"/>
      <c r="AF8" s="182" t="n"/>
      <c r="AG8" s="183">
        <f>COUNTIF(C8:AF8,"x")</f>
        <v/>
      </c>
      <c r="AH8" s="182" t="n"/>
      <c r="AI8" s="182" t="inlineStr">
        <is>
          <t>x</t>
        </is>
      </c>
      <c r="AJ8" s="182" t="n"/>
      <c r="AK8" s="182" t="n"/>
      <c r="AL8" s="182" t="n"/>
      <c r="AM8" s="182" t="n"/>
      <c r="AN8" s="182" t="n"/>
      <c r="AO8" s="182" t="n"/>
      <c r="AP8" s="182" t="n"/>
      <c r="AQ8" s="182" t="n"/>
      <c r="AR8" s="182" t="n"/>
      <c r="AS8" s="182" t="n"/>
      <c r="AT8" s="182" t="n"/>
      <c r="AU8" s="182" t="n"/>
      <c r="AV8" s="182" t="n"/>
      <c r="AW8" s="182" t="n"/>
    </row>
    <row r="9" ht="21" customHeight="1">
      <c r="B9" s="181" t="inlineStr">
        <is>
          <t>RF-07</t>
        </is>
      </c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2" t="n"/>
      <c r="O9" s="182" t="n"/>
      <c r="P9" s="182" t="n"/>
      <c r="Q9" s="182" t="inlineStr">
        <is>
          <t>x</t>
        </is>
      </c>
      <c r="R9" s="182" t="n"/>
      <c r="S9" s="182" t="n"/>
      <c r="T9" s="182" t="n"/>
      <c r="U9" s="182" t="n"/>
      <c r="V9" s="182" t="n"/>
      <c r="W9" s="182" t="inlineStr">
        <is>
          <t>x</t>
        </is>
      </c>
      <c r="X9" s="182" t="n"/>
      <c r="Y9" s="182" t="n"/>
      <c r="Z9" s="182" t="n"/>
      <c r="AA9" s="182" t="n"/>
      <c r="AB9" s="182" t="n"/>
      <c r="AC9" s="182" t="n"/>
      <c r="AD9" s="182" t="n"/>
      <c r="AE9" s="182" t="n"/>
      <c r="AF9" s="182" t="n"/>
      <c r="AG9" s="183">
        <f>COUNTIF(C9:AF9,"x")</f>
        <v/>
      </c>
      <c r="AH9" s="182" t="n"/>
      <c r="AI9" s="182" t="inlineStr">
        <is>
          <t>x</t>
        </is>
      </c>
      <c r="AJ9" s="182" t="n"/>
      <c r="AK9" s="182" t="n"/>
      <c r="AL9" s="182" t="n"/>
      <c r="AM9" s="182" t="n"/>
      <c r="AN9" s="182" t="n"/>
      <c r="AO9" s="182" t="n"/>
      <c r="AP9" s="182" t="n"/>
      <c r="AQ9" s="182" t="n"/>
      <c r="AR9" s="182" t="n"/>
      <c r="AS9" s="182" t="n"/>
      <c r="AT9" s="182" t="n"/>
      <c r="AU9" s="182" t="n"/>
      <c r="AV9" s="182" t="n"/>
      <c r="AW9" s="182" t="n"/>
    </row>
    <row r="10" ht="21" customHeight="1">
      <c r="B10" s="181" t="inlineStr">
        <is>
          <t>RF-08</t>
        </is>
      </c>
      <c r="C10" s="182" t="inlineStr">
        <is>
          <t>x</t>
        </is>
      </c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2" t="n"/>
      <c r="O10" s="182" t="n"/>
      <c r="P10" s="182" t="n"/>
      <c r="Q10" s="182" t="n"/>
      <c r="R10" s="182" t="n"/>
      <c r="S10" s="182" t="n"/>
      <c r="T10" s="182" t="n"/>
      <c r="U10" s="182" t="n"/>
      <c r="V10" s="182" t="n"/>
      <c r="W10" s="182" t="n"/>
      <c r="X10" s="182" t="n"/>
      <c r="Y10" s="182" t="n"/>
      <c r="Z10" s="182" t="n"/>
      <c r="AA10" s="182" t="n"/>
      <c r="AB10" s="182" t="n"/>
      <c r="AC10" s="182" t="n"/>
      <c r="AD10" s="182" t="n"/>
      <c r="AE10" s="182" t="n"/>
      <c r="AF10" s="182" t="n"/>
      <c r="AG10" s="183">
        <f>COUNTIF(C10:AF10,"x")</f>
        <v/>
      </c>
      <c r="AH10" s="182" t="n"/>
      <c r="AI10" s="182" t="inlineStr">
        <is>
          <t>x</t>
        </is>
      </c>
      <c r="AJ10" s="182" t="n"/>
      <c r="AK10" s="182" t="n"/>
      <c r="AL10" s="182" t="n"/>
      <c r="AM10" s="182" t="n"/>
      <c r="AN10" s="182" t="n"/>
      <c r="AO10" s="182" t="n"/>
      <c r="AP10" s="182" t="n"/>
      <c r="AQ10" s="182" t="n"/>
      <c r="AR10" s="182" t="n"/>
      <c r="AS10" s="182" t="n"/>
      <c r="AT10" s="182" t="n"/>
      <c r="AU10" s="182" t="n"/>
      <c r="AV10" s="182" t="n"/>
      <c r="AW10" s="182" t="n"/>
    </row>
    <row r="11" ht="21" customHeight="1">
      <c r="B11" s="181" t="inlineStr">
        <is>
          <t>RF-09</t>
        </is>
      </c>
      <c r="C11" s="182" t="n"/>
      <c r="D11" s="182" t="inlineStr">
        <is>
          <t>x</t>
        </is>
      </c>
      <c r="E11" s="182" t="n"/>
      <c r="F11" s="182" t="n"/>
      <c r="G11" s="182" t="n"/>
      <c r="H11" s="182" t="n"/>
      <c r="I11" s="182" t="n"/>
      <c r="J11" s="182" t="n"/>
      <c r="K11" s="182" t="n"/>
      <c r="L11" s="182" t="n"/>
      <c r="M11" s="182" t="n"/>
      <c r="N11" s="182" t="n"/>
      <c r="O11" s="182" t="n"/>
      <c r="P11" s="182" t="n"/>
      <c r="Q11" s="182" t="n"/>
      <c r="R11" s="182" t="n"/>
      <c r="S11" s="182" t="n"/>
      <c r="T11" s="182" t="n"/>
      <c r="U11" s="182" t="n"/>
      <c r="V11" s="182" t="n"/>
      <c r="W11" s="182" t="n"/>
      <c r="X11" s="182" t="n"/>
      <c r="Y11" s="182" t="n"/>
      <c r="Z11" s="182" t="n"/>
      <c r="AA11" s="182" t="n"/>
      <c r="AB11" s="182" t="n"/>
      <c r="AC11" s="182" t="n"/>
      <c r="AD11" s="182" t="n"/>
      <c r="AE11" s="182" t="n"/>
      <c r="AF11" s="182" t="n"/>
      <c r="AG11" s="183">
        <f>COUNTIF(C11:AF11,"x")</f>
        <v/>
      </c>
      <c r="AH11" s="182" t="n"/>
      <c r="AI11" s="182" t="inlineStr">
        <is>
          <t>x</t>
        </is>
      </c>
      <c r="AJ11" s="182" t="n"/>
      <c r="AK11" s="182" t="n"/>
      <c r="AL11" s="182" t="n"/>
      <c r="AM11" s="182" t="n"/>
      <c r="AN11" s="182" t="n"/>
      <c r="AO11" s="182" t="n"/>
      <c r="AP11" s="182" t="n"/>
      <c r="AQ11" s="182" t="n"/>
      <c r="AR11" s="182" t="n"/>
      <c r="AS11" s="182" t="n"/>
      <c r="AT11" s="182" t="n"/>
      <c r="AU11" s="182" t="n"/>
      <c r="AV11" s="182" t="n"/>
      <c r="AW11" s="182" t="n"/>
    </row>
    <row r="12" ht="21" customHeight="1">
      <c r="B12" s="181" t="inlineStr">
        <is>
          <t>RF-10</t>
        </is>
      </c>
      <c r="C12" s="182" t="n"/>
      <c r="D12" s="182" t="n"/>
      <c r="E12" s="182" t="n"/>
      <c r="F12" s="182" t="n"/>
      <c r="G12" s="182" t="inlineStr">
        <is>
          <t>x</t>
        </is>
      </c>
      <c r="H12" s="182" t="n"/>
      <c r="I12" s="182" t="n"/>
      <c r="J12" s="182" t="n"/>
      <c r="K12" s="182" t="n"/>
      <c r="L12" s="182" t="n"/>
      <c r="M12" s="182" t="n"/>
      <c r="N12" s="182" t="n"/>
      <c r="O12" s="182" t="n"/>
      <c r="P12" s="182" t="n"/>
      <c r="Q12" s="182" t="n"/>
      <c r="R12" s="182" t="n"/>
      <c r="S12" s="182" t="n"/>
      <c r="T12" s="182" t="n"/>
      <c r="U12" s="182" t="n"/>
      <c r="V12" s="182" t="n"/>
      <c r="W12" s="182" t="n"/>
      <c r="X12" s="182" t="n"/>
      <c r="Y12" s="182" t="n"/>
      <c r="Z12" s="182" t="n"/>
      <c r="AA12" s="182" t="n"/>
      <c r="AB12" s="182" t="n"/>
      <c r="AC12" s="182" t="n"/>
      <c r="AD12" s="182" t="n"/>
      <c r="AE12" s="182" t="n"/>
      <c r="AF12" s="182" t="n"/>
      <c r="AG12" s="183">
        <f>COUNTIF(C12:AF12,"x")</f>
        <v/>
      </c>
      <c r="AH12" s="182" t="n"/>
      <c r="AI12" s="182" t="inlineStr">
        <is>
          <t>x</t>
        </is>
      </c>
      <c r="AJ12" s="182" t="n"/>
      <c r="AK12" s="182" t="inlineStr">
        <is>
          <t>x</t>
        </is>
      </c>
      <c r="AL12" s="182" t="n"/>
      <c r="AM12" s="182" t="n"/>
      <c r="AN12" s="182" t="n"/>
      <c r="AO12" s="182" t="n"/>
      <c r="AP12" s="182" t="n"/>
      <c r="AQ12" s="182" t="n"/>
      <c r="AR12" s="182" t="n"/>
      <c r="AS12" s="182" t="n"/>
      <c r="AT12" s="182" t="n"/>
      <c r="AU12" s="182" t="n"/>
      <c r="AV12" s="182" t="n"/>
      <c r="AW12" s="182" t="n"/>
    </row>
    <row r="13" ht="21" customHeight="1">
      <c r="B13" s="181" t="inlineStr">
        <is>
          <t>RF-11</t>
        </is>
      </c>
      <c r="C13" s="182" t="n"/>
      <c r="D13" s="182" t="n"/>
      <c r="E13" s="182" t="n"/>
      <c r="F13" s="182" t="n"/>
      <c r="G13" s="182" t="inlineStr">
        <is>
          <t>x</t>
        </is>
      </c>
      <c r="H13" s="182" t="n"/>
      <c r="I13" s="182" t="n"/>
      <c r="J13" s="182" t="n"/>
      <c r="K13" s="182" t="n"/>
      <c r="L13" s="182" t="n"/>
      <c r="M13" s="182" t="n"/>
      <c r="N13" s="182" t="n"/>
      <c r="O13" s="182" t="n"/>
      <c r="P13" s="182" t="n"/>
      <c r="Q13" s="182" t="n"/>
      <c r="R13" s="182" t="n"/>
      <c r="S13" s="182" t="n"/>
      <c r="T13" s="182" t="n"/>
      <c r="U13" s="182" t="n"/>
      <c r="V13" s="182" t="n"/>
      <c r="W13" s="182" t="n"/>
      <c r="X13" s="182" t="n"/>
      <c r="Y13" s="182" t="n"/>
      <c r="Z13" s="182" t="n"/>
      <c r="AA13" s="182" t="n"/>
      <c r="AB13" s="182" t="n"/>
      <c r="AC13" s="182" t="n"/>
      <c r="AD13" s="182" t="n"/>
      <c r="AE13" s="182" t="n"/>
      <c r="AF13" s="182" t="n"/>
      <c r="AG13" s="183">
        <f>COUNTIF(C13:AF13,"x")</f>
        <v/>
      </c>
      <c r="AH13" s="182" t="n"/>
      <c r="AI13" s="182" t="n"/>
      <c r="AJ13" s="182" t="n"/>
      <c r="AK13" s="182" t="inlineStr">
        <is>
          <t>x</t>
        </is>
      </c>
      <c r="AL13" s="182" t="n"/>
      <c r="AM13" s="182" t="n"/>
      <c r="AN13" s="182" t="n"/>
      <c r="AO13" s="182" t="n"/>
      <c r="AP13" s="182" t="n"/>
      <c r="AQ13" s="182" t="n"/>
      <c r="AR13" s="182" t="n"/>
      <c r="AS13" s="182" t="n"/>
      <c r="AT13" s="182" t="n"/>
      <c r="AU13" s="182" t="n"/>
      <c r="AV13" s="182" t="n"/>
      <c r="AW13" s="182" t="n"/>
    </row>
    <row r="14" ht="21" customHeight="1">
      <c r="B14" s="181" t="inlineStr">
        <is>
          <t>RF-12</t>
        </is>
      </c>
      <c r="C14" s="182" t="n"/>
      <c r="D14" s="182" t="n"/>
      <c r="E14" s="182" t="n"/>
      <c r="F14" s="182" t="n"/>
      <c r="G14" s="182" t="inlineStr">
        <is>
          <t>x</t>
        </is>
      </c>
      <c r="H14" s="182" t="n"/>
      <c r="I14" s="182" t="n"/>
      <c r="J14" s="182" t="n"/>
      <c r="K14" s="182" t="n"/>
      <c r="L14" s="182" t="n"/>
      <c r="M14" s="182" t="n"/>
      <c r="N14" s="182" t="n"/>
      <c r="O14" s="182" t="n"/>
      <c r="P14" s="182" t="n"/>
      <c r="Q14" s="182" t="n"/>
      <c r="R14" s="182" t="n"/>
      <c r="S14" s="182" t="n"/>
      <c r="T14" s="182" t="n"/>
      <c r="U14" s="182" t="n"/>
      <c r="V14" s="182" t="n"/>
      <c r="W14" s="182" t="n"/>
      <c r="X14" s="182" t="n"/>
      <c r="Y14" s="182" t="n"/>
      <c r="Z14" s="182" t="n"/>
      <c r="AA14" s="182" t="n"/>
      <c r="AB14" s="182" t="n"/>
      <c r="AC14" s="182" t="n"/>
      <c r="AD14" s="182" t="n"/>
      <c r="AE14" s="182" t="n"/>
      <c r="AF14" s="182" t="n"/>
      <c r="AG14" s="183">
        <f>COUNTIF(C14:AF14,"x")</f>
        <v/>
      </c>
      <c r="AH14" s="182" t="n"/>
      <c r="AI14" s="182" t="n"/>
      <c r="AJ14" s="182" t="n"/>
      <c r="AK14" s="182" t="inlineStr">
        <is>
          <t>x</t>
        </is>
      </c>
      <c r="AL14" s="182" t="n"/>
      <c r="AM14" s="182" t="n"/>
      <c r="AN14" s="182" t="n"/>
      <c r="AO14" s="182" t="n"/>
      <c r="AP14" s="182" t="n"/>
      <c r="AQ14" s="182" t="n"/>
      <c r="AR14" s="182" t="n"/>
      <c r="AS14" s="182" t="n"/>
      <c r="AT14" s="182" t="n"/>
      <c r="AU14" s="182" t="n"/>
      <c r="AV14" s="182" t="n"/>
      <c r="AW14" s="182" t="n"/>
    </row>
    <row r="15" ht="21" customHeight="1">
      <c r="B15" s="181" t="inlineStr">
        <is>
          <t>RF-13</t>
        </is>
      </c>
      <c r="C15" s="182" t="n"/>
      <c r="D15" s="182" t="n"/>
      <c r="E15" s="182" t="n"/>
      <c r="F15" s="182" t="n"/>
      <c r="G15" s="182" t="inlineStr">
        <is>
          <t>x</t>
        </is>
      </c>
      <c r="H15" s="182" t="inlineStr">
        <is>
          <t>x</t>
        </is>
      </c>
      <c r="I15" s="182" t="n"/>
      <c r="J15" s="182" t="n"/>
      <c r="K15" s="182" t="n"/>
      <c r="L15" s="182" t="n"/>
      <c r="M15" s="182" t="n"/>
      <c r="N15" s="182" t="n"/>
      <c r="O15" s="182" t="n"/>
      <c r="P15" s="182" t="n"/>
      <c r="Q15" s="182" t="n"/>
      <c r="R15" s="182" t="n"/>
      <c r="S15" s="182" t="n"/>
      <c r="T15" s="182" t="n"/>
      <c r="U15" s="182" t="n"/>
      <c r="V15" s="182" t="n"/>
      <c r="W15" s="182" t="n"/>
      <c r="X15" s="182" t="n"/>
      <c r="Y15" s="182" t="n"/>
      <c r="Z15" s="182" t="n"/>
      <c r="AA15" s="182" t="n"/>
      <c r="AB15" s="182" t="n"/>
      <c r="AC15" s="182" t="n"/>
      <c r="AD15" s="182" t="n"/>
      <c r="AE15" s="182" t="n"/>
      <c r="AF15" s="182" t="n"/>
      <c r="AG15" s="183">
        <f>COUNTIF(C15:AF15,"x")</f>
        <v/>
      </c>
      <c r="AH15" s="182" t="n"/>
      <c r="AI15" s="182" t="n"/>
      <c r="AJ15" s="182" t="n"/>
      <c r="AK15" s="182" t="inlineStr">
        <is>
          <t>x</t>
        </is>
      </c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inlineStr">
        <is>
          <t>x</t>
        </is>
      </c>
      <c r="AU15" s="182" t="n"/>
      <c r="AV15" s="182" t="n"/>
      <c r="AW15" s="182" t="n"/>
    </row>
    <row r="16" ht="21" customHeight="1">
      <c r="B16" s="181" t="inlineStr">
        <is>
          <t>RF-14</t>
        </is>
      </c>
      <c r="C16" s="182" t="n"/>
      <c r="D16" s="182" t="n"/>
      <c r="E16" s="182" t="n"/>
      <c r="F16" s="182" t="n"/>
      <c r="G16" s="182" t="inlineStr">
        <is>
          <t>x</t>
        </is>
      </c>
      <c r="H16" s="182" t="n"/>
      <c r="I16" s="182" t="n"/>
      <c r="J16" s="182" t="n"/>
      <c r="K16" s="182" t="n"/>
      <c r="L16" s="182" t="n"/>
      <c r="M16" s="182" t="n"/>
      <c r="N16" s="182" t="n"/>
      <c r="O16" s="182" t="n"/>
      <c r="P16" s="182" t="n"/>
      <c r="Q16" s="182" t="n"/>
      <c r="R16" s="182" t="n"/>
      <c r="S16" s="182" t="n"/>
      <c r="T16" s="182" t="n"/>
      <c r="U16" s="182" t="n"/>
      <c r="V16" s="182" t="n"/>
      <c r="W16" s="182" t="n"/>
      <c r="X16" s="182" t="n"/>
      <c r="Y16" s="182" t="n"/>
      <c r="Z16" s="182" t="n"/>
      <c r="AA16" s="182" t="n"/>
      <c r="AB16" s="182" t="n"/>
      <c r="AC16" s="182" t="n"/>
      <c r="AD16" s="182" t="n"/>
      <c r="AE16" s="182" t="n"/>
      <c r="AF16" s="182" t="n"/>
      <c r="AG16" s="183">
        <f>COUNTIF(C16:AF16,"x")</f>
        <v/>
      </c>
      <c r="AH16" s="182" t="n"/>
      <c r="AI16" s="182" t="n"/>
      <c r="AJ16" s="182" t="n"/>
      <c r="AK16" s="182" t="inlineStr">
        <is>
          <t>x</t>
        </is>
      </c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</row>
    <row r="17" ht="21" customHeight="1">
      <c r="B17" s="181" t="inlineStr">
        <is>
          <t>RF-15</t>
        </is>
      </c>
      <c r="C17" s="182" t="n"/>
      <c r="D17" s="182" t="n"/>
      <c r="E17" s="182" t="n"/>
      <c r="F17" s="182" t="n"/>
      <c r="G17" s="182" t="n"/>
      <c r="H17" s="182" t="inlineStr">
        <is>
          <t>x</t>
        </is>
      </c>
      <c r="I17" s="182" t="n"/>
      <c r="J17" s="182" t="n"/>
      <c r="K17" s="182" t="n"/>
      <c r="L17" s="182" t="n"/>
      <c r="M17" s="182" t="n"/>
      <c r="N17" s="182" t="n"/>
      <c r="O17" s="182" t="n"/>
      <c r="P17" s="182" t="n"/>
      <c r="Q17" s="182" t="n"/>
      <c r="R17" s="182" t="n"/>
      <c r="S17" s="182" t="n"/>
      <c r="T17" s="182" t="n"/>
      <c r="U17" s="182" t="n"/>
      <c r="V17" s="182" t="n"/>
      <c r="W17" s="182" t="n"/>
      <c r="X17" s="182" t="n"/>
      <c r="Y17" s="182" t="n"/>
      <c r="Z17" s="182" t="n"/>
      <c r="AA17" s="182" t="n"/>
      <c r="AB17" s="182" t="n"/>
      <c r="AC17" s="182" t="n"/>
      <c r="AD17" s="182" t="n"/>
      <c r="AE17" s="182" t="n"/>
      <c r="AF17" s="182" t="n"/>
      <c r="AG17" s="183">
        <f>COUNTIF(C17:AF17,"x")</f>
        <v/>
      </c>
      <c r="AH17" s="182" t="n"/>
      <c r="AI17" s="182" t="n"/>
      <c r="AJ17" s="182" t="n"/>
      <c r="AK17" s="182" t="n"/>
      <c r="AL17" s="182" t="inlineStr">
        <is>
          <t>x</t>
        </is>
      </c>
      <c r="AM17" s="182" t="n"/>
      <c r="AN17" s="182" t="n"/>
      <c r="AO17" s="182" t="n"/>
      <c r="AP17" s="182" t="n"/>
      <c r="AQ17" s="182" t="n"/>
      <c r="AR17" s="182" t="n"/>
      <c r="AS17" s="182" t="n"/>
      <c r="AT17" s="182" t="n"/>
      <c r="AU17" s="182" t="n"/>
      <c r="AV17" s="182" t="n"/>
      <c r="AW17" s="182" t="n"/>
    </row>
    <row r="18" ht="21" customHeight="1">
      <c r="B18" s="181" t="inlineStr">
        <is>
          <t>RF-16</t>
        </is>
      </c>
      <c r="C18" s="182" t="n"/>
      <c r="D18" s="182" t="n"/>
      <c r="E18" s="182" t="n"/>
      <c r="F18" s="182" t="n"/>
      <c r="G18" s="182" t="n"/>
      <c r="H18" s="182" t="inlineStr">
        <is>
          <t>x</t>
        </is>
      </c>
      <c r="I18" s="182" t="n"/>
      <c r="J18" s="182" t="n"/>
      <c r="K18" s="182" t="n"/>
      <c r="L18" s="182" t="n"/>
      <c r="M18" s="182" t="n"/>
      <c r="N18" s="182" t="n"/>
      <c r="O18" s="182" t="n"/>
      <c r="P18" s="182" t="n"/>
      <c r="Q18" s="182" t="n"/>
      <c r="R18" s="182" t="n"/>
      <c r="S18" s="182" t="n"/>
      <c r="T18" s="182" t="n"/>
      <c r="U18" s="182" t="n"/>
      <c r="V18" s="182" t="n"/>
      <c r="W18" s="182" t="n"/>
      <c r="X18" s="182" t="n"/>
      <c r="Y18" s="182" t="n"/>
      <c r="Z18" s="182" t="n"/>
      <c r="AA18" s="182" t="n"/>
      <c r="AB18" s="182" t="n"/>
      <c r="AC18" s="182" t="n"/>
      <c r="AD18" s="182" t="n"/>
      <c r="AE18" s="182" t="n"/>
      <c r="AF18" s="182" t="n"/>
      <c r="AG18" s="183">
        <f>COUNTIF(C18:AF18,"x")</f>
        <v/>
      </c>
      <c r="AH18" s="182" t="n"/>
      <c r="AI18" s="182" t="n"/>
      <c r="AJ18" s="182" t="n"/>
      <c r="AK18" s="182" t="n"/>
      <c r="AL18" s="182" t="inlineStr">
        <is>
          <t>x</t>
        </is>
      </c>
      <c r="AM18" s="182" t="n"/>
      <c r="AN18" s="182" t="n"/>
      <c r="AO18" s="182" t="n"/>
      <c r="AP18" s="182" t="n"/>
      <c r="AQ18" s="182" t="n"/>
      <c r="AR18" s="182" t="n"/>
      <c r="AS18" s="182" t="n"/>
      <c r="AT18" s="182" t="n"/>
      <c r="AU18" s="182" t="n"/>
      <c r="AV18" s="182" t="n"/>
      <c r="AW18" s="182" t="n"/>
    </row>
    <row r="19" ht="21" customHeight="1">
      <c r="B19" s="181" t="inlineStr">
        <is>
          <t>RF-17</t>
        </is>
      </c>
      <c r="C19" s="182" t="n"/>
      <c r="D19" s="182" t="n"/>
      <c r="E19" s="182" t="n"/>
      <c r="F19" s="182" t="n"/>
      <c r="G19" s="182" t="n"/>
      <c r="H19" s="182" t="inlineStr">
        <is>
          <t>x</t>
        </is>
      </c>
      <c r="I19" s="182" t="n"/>
      <c r="J19" s="182" t="n"/>
      <c r="K19" s="182" t="n"/>
      <c r="L19" s="182" t="n"/>
      <c r="M19" s="182" t="n"/>
      <c r="N19" s="182" t="n"/>
      <c r="O19" s="182" t="n"/>
      <c r="P19" s="182" t="n"/>
      <c r="Q19" s="182" t="n"/>
      <c r="R19" s="182" t="n"/>
      <c r="S19" s="182" t="n"/>
      <c r="T19" s="182" t="n"/>
      <c r="U19" s="182" t="n"/>
      <c r="V19" s="182" t="n"/>
      <c r="W19" s="182" t="n"/>
      <c r="X19" s="182" t="n"/>
      <c r="Y19" s="182" t="n"/>
      <c r="Z19" s="182" t="n"/>
      <c r="AA19" s="182" t="n"/>
      <c r="AB19" s="182" t="n"/>
      <c r="AC19" s="182" t="n"/>
      <c r="AD19" s="182" t="n"/>
      <c r="AE19" s="182" t="n"/>
      <c r="AF19" s="182" t="n"/>
      <c r="AG19" s="183">
        <f>COUNTIF(C19:AF19,"x")</f>
        <v/>
      </c>
      <c r="AH19" s="182" t="n"/>
      <c r="AI19" s="182" t="n"/>
      <c r="AJ19" s="182" t="n"/>
      <c r="AK19" s="182" t="n"/>
      <c r="AL19" s="182" t="inlineStr">
        <is>
          <t>x</t>
        </is>
      </c>
      <c r="AM19" s="182" t="n"/>
      <c r="AN19" s="182" t="n"/>
      <c r="AO19" s="182" t="n"/>
      <c r="AP19" s="182" t="n"/>
      <c r="AQ19" s="182" t="n"/>
      <c r="AR19" s="182" t="n"/>
      <c r="AS19" s="182" t="n"/>
      <c r="AT19" s="182" t="n"/>
      <c r="AU19" s="182" t="n"/>
      <c r="AV19" s="182" t="n"/>
      <c r="AW19" s="182" t="n"/>
    </row>
    <row r="20" ht="21" customHeight="1">
      <c r="B20" s="181" t="inlineStr">
        <is>
          <t>RF-18</t>
        </is>
      </c>
      <c r="C20" s="182" t="n"/>
      <c r="D20" s="182" t="n"/>
      <c r="E20" s="182" t="n"/>
      <c r="F20" s="182" t="n"/>
      <c r="G20" s="182" t="n"/>
      <c r="H20" s="182" t="inlineStr">
        <is>
          <t>x</t>
        </is>
      </c>
      <c r="I20" s="182" t="n"/>
      <c r="J20" s="182" t="n"/>
      <c r="K20" s="182" t="n"/>
      <c r="L20" s="182" t="n"/>
      <c r="M20" s="182" t="n"/>
      <c r="N20" s="182" t="n"/>
      <c r="O20" s="182" t="n"/>
      <c r="P20" s="182" t="n"/>
      <c r="Q20" s="182" t="n"/>
      <c r="R20" s="182" t="n"/>
      <c r="S20" s="182" t="n"/>
      <c r="T20" s="182" t="n"/>
      <c r="U20" s="182" t="n"/>
      <c r="V20" s="182" t="n"/>
      <c r="W20" s="182" t="n"/>
      <c r="X20" s="182" t="n"/>
      <c r="Y20" s="182" t="n"/>
      <c r="Z20" s="182" t="n"/>
      <c r="AA20" s="182" t="n"/>
      <c r="AB20" s="182" t="n"/>
      <c r="AC20" s="182" t="n"/>
      <c r="AD20" s="182" t="n"/>
      <c r="AE20" s="182" t="n"/>
      <c r="AF20" s="182" t="n"/>
      <c r="AG20" s="183">
        <f>COUNTIF(C20:AF20,"x")</f>
        <v/>
      </c>
      <c r="AH20" s="182" t="n"/>
      <c r="AI20" s="182" t="n"/>
      <c r="AJ20" s="182" t="n"/>
      <c r="AK20" s="182" t="n"/>
      <c r="AL20" s="182" t="inlineStr">
        <is>
          <t>x</t>
        </is>
      </c>
      <c r="AM20" s="182" t="n"/>
      <c r="AN20" s="182" t="n"/>
      <c r="AO20" s="182" t="n"/>
      <c r="AP20" s="182" t="n"/>
      <c r="AQ20" s="182" t="n"/>
      <c r="AR20" s="182" t="n"/>
      <c r="AS20" s="182" t="n"/>
      <c r="AT20" s="182" t="n"/>
      <c r="AU20" s="182" t="n"/>
      <c r="AV20" s="182" t="n"/>
      <c r="AW20" s="182" t="n"/>
    </row>
    <row r="21" ht="21" customHeight="1">
      <c r="B21" s="181" t="inlineStr">
        <is>
          <t>RF-19</t>
        </is>
      </c>
      <c r="C21" s="182" t="n"/>
      <c r="D21" s="182" t="n"/>
      <c r="E21" s="182" t="n"/>
      <c r="F21" s="182" t="n"/>
      <c r="G21" s="182" t="n"/>
      <c r="H21" s="182" t="inlineStr">
        <is>
          <t>x</t>
        </is>
      </c>
      <c r="I21" s="182" t="n"/>
      <c r="J21" s="182" t="n"/>
      <c r="K21" s="182" t="n"/>
      <c r="L21" s="182" t="n"/>
      <c r="M21" s="182" t="n"/>
      <c r="N21" s="182" t="n"/>
      <c r="O21" s="182" t="n"/>
      <c r="P21" s="182" t="n"/>
      <c r="Q21" s="182" t="n"/>
      <c r="R21" s="182" t="n"/>
      <c r="S21" s="182" t="n"/>
      <c r="T21" s="182" t="n"/>
      <c r="U21" s="182" t="n"/>
      <c r="V21" s="182" t="n"/>
      <c r="W21" s="182" t="n"/>
      <c r="X21" s="182" t="n"/>
      <c r="Y21" s="182" t="n"/>
      <c r="Z21" s="182" t="n"/>
      <c r="AA21" s="182" t="n"/>
      <c r="AB21" s="182" t="n"/>
      <c r="AC21" s="182" t="n"/>
      <c r="AD21" s="182" t="n"/>
      <c r="AE21" s="182" t="n"/>
      <c r="AF21" s="182" t="n"/>
      <c r="AG21" s="183">
        <f>COUNTIF(C21:AF21,"x")</f>
        <v/>
      </c>
      <c r="AH21" s="182" t="n"/>
      <c r="AI21" s="182" t="n"/>
      <c r="AJ21" s="182" t="n"/>
      <c r="AK21" s="182" t="n"/>
      <c r="AL21" s="182" t="inlineStr">
        <is>
          <t>x</t>
        </is>
      </c>
      <c r="AM21" s="182" t="n"/>
      <c r="AN21" s="182" t="n"/>
      <c r="AO21" s="182" t="n"/>
      <c r="AP21" s="182" t="n"/>
      <c r="AQ21" s="182" t="n"/>
      <c r="AR21" s="182" t="n"/>
      <c r="AS21" s="182" t="n"/>
      <c r="AT21" s="182" t="n"/>
      <c r="AU21" s="182" t="inlineStr">
        <is>
          <t>x</t>
        </is>
      </c>
      <c r="AV21" s="182" t="n"/>
      <c r="AW21" s="182" t="n"/>
    </row>
    <row r="22" ht="21" customHeight="1">
      <c r="B22" s="181" t="inlineStr">
        <is>
          <t>RF-20</t>
        </is>
      </c>
      <c r="C22" s="182" t="n"/>
      <c r="D22" s="182" t="n"/>
      <c r="E22" s="182" t="n"/>
      <c r="F22" s="182" t="n"/>
      <c r="G22" s="182" t="n"/>
      <c r="H22" s="182" t="inlineStr">
        <is>
          <t>x</t>
        </is>
      </c>
      <c r="I22" s="182" t="n"/>
      <c r="J22" s="182" t="n"/>
      <c r="K22" s="182" t="n"/>
      <c r="L22" s="182" t="n"/>
      <c r="M22" s="182" t="n"/>
      <c r="N22" s="182" t="n"/>
      <c r="O22" s="182" t="n"/>
      <c r="P22" s="182" t="n"/>
      <c r="Q22" s="182" t="n"/>
      <c r="R22" s="182" t="n"/>
      <c r="S22" s="182" t="n"/>
      <c r="T22" s="182" t="n"/>
      <c r="U22" s="182" t="n"/>
      <c r="V22" s="182" t="n"/>
      <c r="W22" s="182" t="n"/>
      <c r="X22" s="182" t="n"/>
      <c r="Y22" s="182" t="n"/>
      <c r="Z22" s="182" t="n"/>
      <c r="AA22" s="182" t="n"/>
      <c r="AB22" s="182" t="n"/>
      <c r="AC22" s="182" t="n"/>
      <c r="AD22" s="182" t="n"/>
      <c r="AE22" s="182" t="n"/>
      <c r="AF22" s="182" t="n"/>
      <c r="AG22" s="183">
        <f>COUNTIF(C22:AF22,"x")</f>
        <v/>
      </c>
      <c r="AH22" s="182" t="n"/>
      <c r="AI22" s="182" t="n"/>
      <c r="AJ22" s="182" t="n"/>
      <c r="AK22" s="182" t="n"/>
      <c r="AL22" s="182" t="inlineStr">
        <is>
          <t>x</t>
        </is>
      </c>
      <c r="AM22" s="182" t="n"/>
      <c r="AN22" s="182" t="n"/>
      <c r="AO22" s="182" t="n"/>
      <c r="AP22" s="182" t="n"/>
      <c r="AQ22" s="182" t="n"/>
      <c r="AR22" s="182" t="n"/>
      <c r="AS22" s="182" t="n"/>
      <c r="AT22" s="182" t="n"/>
      <c r="AU22" s="182" t="n"/>
      <c r="AV22" s="182" t="n"/>
      <c r="AW22" s="182" t="n"/>
    </row>
    <row r="23" ht="21" customHeight="1">
      <c r="B23" s="181" t="inlineStr">
        <is>
          <t>RF-21</t>
        </is>
      </c>
      <c r="C23" s="182" t="n"/>
      <c r="D23" s="182" t="n"/>
      <c r="E23" s="182" t="n"/>
      <c r="F23" s="182" t="n"/>
      <c r="G23" s="182" t="n"/>
      <c r="H23" s="182" t="inlineStr">
        <is>
          <t>x</t>
        </is>
      </c>
      <c r="I23" s="182" t="n"/>
      <c r="J23" s="182" t="n"/>
      <c r="K23" s="182" t="n"/>
      <c r="L23" s="182" t="n"/>
      <c r="M23" s="182" t="n"/>
      <c r="N23" s="182" t="n"/>
      <c r="O23" s="182" t="n"/>
      <c r="P23" s="182" t="n"/>
      <c r="Q23" s="182" t="n"/>
      <c r="R23" s="182" t="n"/>
      <c r="S23" s="182" t="n"/>
      <c r="T23" s="182" t="n"/>
      <c r="U23" s="182" t="n"/>
      <c r="V23" s="182" t="n"/>
      <c r="W23" s="182" t="n"/>
      <c r="X23" s="182" t="n"/>
      <c r="Y23" s="182" t="n"/>
      <c r="Z23" s="182" t="n"/>
      <c r="AA23" s="182" t="n"/>
      <c r="AB23" s="182" t="n"/>
      <c r="AC23" s="182" t="n"/>
      <c r="AD23" s="182" t="n"/>
      <c r="AE23" s="182" t="n"/>
      <c r="AF23" s="182" t="n"/>
      <c r="AG23" s="183">
        <f>COUNTIF(C23:AF23,"x")</f>
        <v/>
      </c>
      <c r="AH23" s="182" t="n"/>
      <c r="AI23" s="182" t="n"/>
      <c r="AJ23" s="182" t="n"/>
      <c r="AK23" s="182" t="n"/>
      <c r="AL23" s="182" t="inlineStr">
        <is>
          <t>x</t>
        </is>
      </c>
      <c r="AM23" s="182" t="n"/>
      <c r="AN23" s="182" t="n"/>
      <c r="AO23" s="182" t="n"/>
      <c r="AP23" s="182" t="n"/>
      <c r="AQ23" s="182" t="n"/>
      <c r="AR23" s="182" t="n"/>
      <c r="AS23" s="182" t="n"/>
      <c r="AT23" s="182" t="n"/>
      <c r="AU23" s="182" t="n"/>
      <c r="AV23" s="182" t="n"/>
      <c r="AW23" s="182" t="n"/>
    </row>
    <row r="24" ht="21" customHeight="1">
      <c r="B24" s="181" t="inlineStr">
        <is>
          <t>RF-22</t>
        </is>
      </c>
      <c r="C24" s="182" t="n"/>
      <c r="D24" s="182" t="n"/>
      <c r="E24" s="182" t="n"/>
      <c r="F24" s="182" t="n"/>
      <c r="G24" s="182" t="n"/>
      <c r="H24" s="182" t="inlineStr">
        <is>
          <t>x</t>
        </is>
      </c>
      <c r="I24" s="182" t="n"/>
      <c r="J24" s="182" t="n"/>
      <c r="K24" s="182" t="n"/>
      <c r="L24" s="182" t="n"/>
      <c r="M24" s="182" t="n"/>
      <c r="N24" s="182" t="n"/>
      <c r="O24" s="182" t="n"/>
      <c r="P24" s="182" t="n"/>
      <c r="Q24" s="182" t="n"/>
      <c r="R24" s="182" t="n"/>
      <c r="S24" s="182" t="n"/>
      <c r="T24" s="182" t="n"/>
      <c r="U24" s="182" t="n"/>
      <c r="V24" s="182" t="n"/>
      <c r="W24" s="182" t="n"/>
      <c r="X24" s="182" t="n"/>
      <c r="Y24" s="182" t="n"/>
      <c r="Z24" s="182" t="n"/>
      <c r="AA24" s="182" t="n"/>
      <c r="AB24" s="182" t="n"/>
      <c r="AC24" s="182" t="n"/>
      <c r="AD24" s="182" t="n"/>
      <c r="AE24" s="182" t="n"/>
      <c r="AF24" s="182" t="n"/>
      <c r="AG24" s="183">
        <f>COUNTIF(C24:AF24,"x")</f>
        <v/>
      </c>
      <c r="AH24" s="182" t="n"/>
      <c r="AI24" s="182" t="n"/>
      <c r="AJ24" s="182" t="n"/>
      <c r="AK24" s="182" t="n"/>
      <c r="AL24" s="182" t="inlineStr">
        <is>
          <t>x</t>
        </is>
      </c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</row>
    <row r="25" ht="21" customHeight="1">
      <c r="B25" s="181" t="inlineStr">
        <is>
          <t>RF-23</t>
        </is>
      </c>
      <c r="C25" s="182" t="n"/>
      <c r="D25" s="182" t="n"/>
      <c r="E25" s="182" t="n"/>
      <c r="F25" s="182" t="n"/>
      <c r="G25" s="182" t="n"/>
      <c r="H25" s="182" t="inlineStr">
        <is>
          <t>x</t>
        </is>
      </c>
      <c r="I25" s="182" t="n"/>
      <c r="J25" s="182" t="n"/>
      <c r="K25" s="182" t="n"/>
      <c r="L25" s="182" t="n"/>
      <c r="M25" s="182" t="n"/>
      <c r="N25" s="182" t="n"/>
      <c r="O25" s="182" t="n"/>
      <c r="P25" s="182" t="n"/>
      <c r="Q25" s="182" t="n"/>
      <c r="R25" s="182" t="n"/>
      <c r="S25" s="182" t="n"/>
      <c r="T25" s="182" t="n"/>
      <c r="U25" s="182" t="n"/>
      <c r="V25" s="182" t="n"/>
      <c r="W25" s="182" t="n"/>
      <c r="X25" s="182" t="n"/>
      <c r="Y25" s="182" t="n"/>
      <c r="Z25" s="182" t="n"/>
      <c r="AA25" s="182" t="n"/>
      <c r="AB25" s="182" t="n"/>
      <c r="AC25" s="182" t="n"/>
      <c r="AD25" s="182" t="n"/>
      <c r="AE25" s="182" t="n"/>
      <c r="AF25" s="182" t="n"/>
      <c r="AG25" s="183">
        <f>COUNTIF(C25:AF25,"x")</f>
        <v/>
      </c>
      <c r="AH25" s="182" t="n"/>
      <c r="AI25" s="182" t="n"/>
      <c r="AJ25" s="182" t="n"/>
      <c r="AK25" s="182" t="n"/>
      <c r="AL25" s="182" t="inlineStr">
        <is>
          <t>x</t>
        </is>
      </c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</row>
    <row r="26" ht="21" customHeight="1">
      <c r="B26" s="181" t="inlineStr">
        <is>
          <t>RF-24</t>
        </is>
      </c>
      <c r="C26" s="182" t="n"/>
      <c r="D26" s="182" t="n"/>
      <c r="E26" s="182" t="n"/>
      <c r="F26" s="182" t="n"/>
      <c r="G26" s="182" t="n"/>
      <c r="H26" s="182" t="inlineStr">
        <is>
          <t>x</t>
        </is>
      </c>
      <c r="I26" s="182" t="n"/>
      <c r="J26" s="182" t="n"/>
      <c r="K26" s="182" t="n"/>
      <c r="L26" s="182" t="n"/>
      <c r="M26" s="182" t="n"/>
      <c r="N26" s="182" t="n"/>
      <c r="O26" s="182" t="n"/>
      <c r="P26" s="182" t="n"/>
      <c r="Q26" s="182" t="n"/>
      <c r="R26" s="182" t="n"/>
      <c r="S26" s="182" t="n"/>
      <c r="T26" s="182" t="n"/>
      <c r="U26" s="182" t="n"/>
      <c r="V26" s="182" t="n"/>
      <c r="W26" s="182" t="n"/>
      <c r="X26" s="182" t="n"/>
      <c r="Y26" s="182" t="n"/>
      <c r="Z26" s="182" t="n"/>
      <c r="AA26" s="182" t="n"/>
      <c r="AB26" s="182" t="n"/>
      <c r="AC26" s="182" t="n"/>
      <c r="AD26" s="182" t="n"/>
      <c r="AE26" s="182" t="n"/>
      <c r="AF26" s="182" t="n"/>
      <c r="AG26" s="183">
        <f>COUNTIF(C26:AF26,"x")</f>
        <v/>
      </c>
      <c r="AH26" s="182" t="n"/>
      <c r="AI26" s="182" t="inlineStr">
        <is>
          <t>x</t>
        </is>
      </c>
      <c r="AJ26" s="182" t="n"/>
      <c r="AK26" s="182" t="n"/>
      <c r="AL26" s="182" t="inlineStr">
        <is>
          <t>x</t>
        </is>
      </c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</row>
    <row r="27" ht="21" customHeight="1">
      <c r="B27" s="181" t="inlineStr">
        <is>
          <t>RF-25</t>
        </is>
      </c>
      <c r="C27" s="182" t="n"/>
      <c r="D27" s="182" t="n"/>
      <c r="E27" s="182" t="n"/>
      <c r="F27" s="182" t="n"/>
      <c r="G27" s="182" t="n"/>
      <c r="H27" s="182" t="n"/>
      <c r="I27" s="182" t="inlineStr">
        <is>
          <t>x</t>
        </is>
      </c>
      <c r="J27" s="182" t="n"/>
      <c r="K27" s="182" t="n"/>
      <c r="L27" s="182" t="n"/>
      <c r="M27" s="182" t="n"/>
      <c r="N27" s="182" t="n"/>
      <c r="O27" s="182" t="n"/>
      <c r="P27" s="182" t="n"/>
      <c r="Q27" s="182" t="n"/>
      <c r="R27" s="182" t="n"/>
      <c r="S27" s="182" t="n"/>
      <c r="T27" s="182" t="n"/>
      <c r="U27" s="182" t="n"/>
      <c r="V27" s="182" t="n"/>
      <c r="W27" s="182" t="n"/>
      <c r="X27" s="182" t="n"/>
      <c r="Y27" s="182" t="n"/>
      <c r="Z27" s="182" t="n"/>
      <c r="AA27" s="182" t="n"/>
      <c r="AB27" s="182" t="n"/>
      <c r="AC27" s="182" t="n"/>
      <c r="AD27" s="182" t="n"/>
      <c r="AE27" s="182" t="n"/>
      <c r="AF27" s="182" t="n"/>
      <c r="AG27" s="183">
        <f>COUNTIF(C27:AF27,"x")</f>
        <v/>
      </c>
      <c r="AH27" s="182" t="n"/>
      <c r="AI27" s="182" t="n"/>
      <c r="AJ27" s="182" t="n"/>
      <c r="AK27" s="182" t="n"/>
      <c r="AL27" s="182" t="inlineStr">
        <is>
          <t>x</t>
        </is>
      </c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</row>
    <row r="28" ht="21" customHeight="1">
      <c r="B28" s="181" t="inlineStr">
        <is>
          <t>RF-26</t>
        </is>
      </c>
      <c r="C28" s="182" t="n"/>
      <c r="D28" s="182" t="n"/>
      <c r="E28" s="182" t="n"/>
      <c r="F28" s="182" t="n"/>
      <c r="G28" s="182" t="n"/>
      <c r="H28" s="182" t="n"/>
      <c r="I28" s="182" t="n"/>
      <c r="J28" s="182" t="n"/>
      <c r="K28" s="182" t="inlineStr">
        <is>
          <t>x</t>
        </is>
      </c>
      <c r="L28" s="182" t="n"/>
      <c r="M28" s="182" t="n"/>
      <c r="N28" s="182" t="n"/>
      <c r="O28" s="182" t="n"/>
      <c r="P28" s="182" t="n"/>
      <c r="Q28" s="182" t="n"/>
      <c r="R28" s="182" t="n"/>
      <c r="S28" s="182" t="n"/>
      <c r="T28" s="182" t="n"/>
      <c r="U28" s="182" t="n"/>
      <c r="V28" s="182" t="n"/>
      <c r="W28" s="182" t="n"/>
      <c r="X28" s="182" t="n"/>
      <c r="Y28" s="182" t="n"/>
      <c r="Z28" s="182" t="n"/>
      <c r="AA28" s="182" t="n"/>
      <c r="AB28" s="182" t="n"/>
      <c r="AC28" s="182" t="n"/>
      <c r="AD28" s="182" t="n"/>
      <c r="AE28" s="182" t="n"/>
      <c r="AF28" s="182" t="n"/>
      <c r="AG28" s="183">
        <f>COUNTIF(C28:AF28,"x")</f>
        <v/>
      </c>
      <c r="AH28" s="182" t="n"/>
      <c r="AI28" s="182" t="n"/>
      <c r="AJ28" s="182" t="n"/>
      <c r="AK28" s="182" t="n"/>
      <c r="AL28" s="182" t="inlineStr">
        <is>
          <t>x</t>
        </is>
      </c>
      <c r="AM28" s="182" t="n"/>
      <c r="AN28" s="182" t="n"/>
      <c r="AO28" s="182" t="n"/>
      <c r="AP28" s="182" t="n"/>
      <c r="AQ28" s="182" t="inlineStr">
        <is>
          <t>x</t>
        </is>
      </c>
      <c r="AR28" s="182" t="n"/>
      <c r="AS28" s="182" t="n"/>
      <c r="AT28" s="182" t="n"/>
      <c r="AU28" s="182" t="n"/>
      <c r="AV28" s="182" t="n"/>
      <c r="AW28" s="182" t="n"/>
    </row>
    <row r="29" ht="21" customHeight="1">
      <c r="B29" s="181" t="inlineStr">
        <is>
          <t>RF-27</t>
        </is>
      </c>
      <c r="C29" s="182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inlineStr">
        <is>
          <t>x</t>
        </is>
      </c>
      <c r="AE29" s="182" t="n"/>
      <c r="AF29" s="182" t="n"/>
      <c r="AG29" s="183">
        <f>COUNTIF(C29:AF29,"x")</f>
        <v/>
      </c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inlineStr">
        <is>
          <t>x</t>
        </is>
      </c>
      <c r="AR29" s="182" t="n"/>
      <c r="AS29" s="182" t="n"/>
      <c r="AT29" s="182" t="n"/>
      <c r="AU29" s="182" t="n"/>
      <c r="AV29" s="182" t="n"/>
      <c r="AW29" s="182" t="n"/>
    </row>
    <row r="30" ht="21" customHeight="1">
      <c r="B30" s="181" t="inlineStr">
        <is>
          <t>RF-28</t>
        </is>
      </c>
      <c r="C30" s="182" t="n"/>
      <c r="D30" s="182" t="n"/>
      <c r="E30" s="182" t="n"/>
      <c r="F30" s="182" t="n"/>
      <c r="G30" s="182" t="n"/>
      <c r="H30" s="182" t="n"/>
      <c r="I30" s="182" t="n"/>
      <c r="J30" s="182" t="n"/>
      <c r="K30" s="182" t="n"/>
      <c r="L30" s="182" t="n"/>
      <c r="M30" s="182" t="n"/>
      <c r="N30" s="182" t="n"/>
      <c r="O30" s="182" t="n"/>
      <c r="P30" s="182" t="n"/>
      <c r="Q30" s="182" t="n"/>
      <c r="R30" s="182" t="n"/>
      <c r="S30" s="182" t="n"/>
      <c r="T30" s="182" t="n"/>
      <c r="U30" s="182" t="n"/>
      <c r="V30" s="182" t="n"/>
      <c r="W30" s="182" t="n"/>
      <c r="X30" s="182" t="n"/>
      <c r="Y30" s="182" t="n"/>
      <c r="Z30" s="182" t="n"/>
      <c r="AA30" s="182" t="n"/>
      <c r="AB30" s="182" t="n"/>
      <c r="AC30" s="182" t="n"/>
      <c r="AD30" s="182" t="n"/>
      <c r="AE30" s="182" t="inlineStr">
        <is>
          <t>x</t>
        </is>
      </c>
      <c r="AF30" s="182" t="n"/>
      <c r="AG30" s="183">
        <f>COUNTIF(C30:AF30,"x")</f>
        <v/>
      </c>
      <c r="AH30" s="182" t="n"/>
      <c r="AI30" s="182" t="n"/>
      <c r="AJ30" s="182" t="n"/>
      <c r="AK30" s="182" t="n"/>
      <c r="AL30" s="182" t="inlineStr">
        <is>
          <t>x</t>
        </is>
      </c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</row>
    <row r="31" ht="21" customHeight="1">
      <c r="B31" s="181" t="inlineStr">
        <is>
          <t>RF-29</t>
        </is>
      </c>
      <c r="C31" s="182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2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2" t="inlineStr">
        <is>
          <t>x</t>
        </is>
      </c>
      <c r="AF31" s="182" t="n"/>
      <c r="AG31" s="183">
        <f>COUNTIF(C31:AF31,"x")</f>
        <v/>
      </c>
      <c r="AH31" s="182" t="inlineStr">
        <is>
          <t>x</t>
        </is>
      </c>
      <c r="AI31" s="182" t="n"/>
      <c r="AJ31" s="182" t="n"/>
      <c r="AK31" s="182" t="n"/>
      <c r="AL31" s="182" t="inlineStr">
        <is>
          <t>x</t>
        </is>
      </c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</row>
    <row r="32" ht="21" customHeight="1">
      <c r="B32" s="181" t="inlineStr">
        <is>
          <t>RF-30</t>
        </is>
      </c>
      <c r="C32" s="182" t="n"/>
      <c r="D32" s="182" t="n"/>
      <c r="E32" s="182" t="n"/>
      <c r="F32" s="182" t="n"/>
      <c r="G32" s="182" t="n"/>
      <c r="H32" s="182" t="n"/>
      <c r="I32" s="182" t="n"/>
      <c r="J32" s="182" t="n"/>
      <c r="K32" s="182" t="n"/>
      <c r="L32" s="182" t="n"/>
      <c r="M32" s="182" t="n"/>
      <c r="N32" s="182" t="n"/>
      <c r="O32" s="182" t="n"/>
      <c r="P32" s="182" t="n"/>
      <c r="Q32" s="182" t="n"/>
      <c r="R32" s="182" t="n"/>
      <c r="S32" s="182" t="n"/>
      <c r="T32" s="182" t="n"/>
      <c r="U32" s="182" t="n"/>
      <c r="V32" s="182" t="n"/>
      <c r="W32" s="182" t="n"/>
      <c r="X32" s="182" t="n"/>
      <c r="Y32" s="182" t="n"/>
      <c r="Z32" s="182" t="n"/>
      <c r="AA32" s="182" t="n"/>
      <c r="AB32" s="182" t="n"/>
      <c r="AC32" s="182" t="n"/>
      <c r="AD32" s="182" t="n"/>
      <c r="AE32" s="182" t="inlineStr">
        <is>
          <t>x</t>
        </is>
      </c>
      <c r="AF32" s="182" t="n"/>
      <c r="AG32" s="183">
        <f>COUNTIF(C32:AF32,"x")</f>
        <v/>
      </c>
      <c r="AH32" s="182" t="n"/>
      <c r="AI32" s="182" t="inlineStr">
        <is>
          <t>x</t>
        </is>
      </c>
      <c r="AJ32" s="182" t="n"/>
      <c r="AK32" s="182" t="n"/>
      <c r="AL32" s="182" t="inlineStr">
        <is>
          <t>x</t>
        </is>
      </c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</row>
    <row r="33" ht="21" customHeight="1">
      <c r="B33" s="181" t="inlineStr">
        <is>
          <t>RF-31</t>
        </is>
      </c>
      <c r="C33" s="182" t="n"/>
      <c r="D33" s="182" t="n"/>
      <c r="E33" s="182" t="n"/>
      <c r="F33" s="182" t="n"/>
      <c r="G33" s="182" t="n"/>
      <c r="H33" s="182" t="n"/>
      <c r="I33" s="182" t="n"/>
      <c r="J33" s="182" t="n"/>
      <c r="K33" s="182" t="n"/>
      <c r="L33" s="182" t="n"/>
      <c r="M33" s="182" t="n"/>
      <c r="N33" s="182" t="n"/>
      <c r="O33" s="182" t="n"/>
      <c r="P33" s="182" t="n"/>
      <c r="Q33" s="182" t="n"/>
      <c r="R33" s="182" t="n"/>
      <c r="S33" s="182" t="n"/>
      <c r="T33" s="182" t="inlineStr">
        <is>
          <t>x</t>
        </is>
      </c>
      <c r="U33" s="182" t="n"/>
      <c r="V33" s="182" t="n"/>
      <c r="W33" s="182" t="n"/>
      <c r="X33" s="182" t="n"/>
      <c r="Y33" s="182" t="n"/>
      <c r="Z33" s="182" t="n"/>
      <c r="AA33" s="182" t="n"/>
      <c r="AB33" s="182" t="n"/>
      <c r="AC33" s="182" t="n"/>
      <c r="AD33" s="182" t="n"/>
      <c r="AE33" s="182" t="n"/>
      <c r="AF33" s="182" t="n"/>
      <c r="AG33" s="183">
        <f>COUNTIF(C33:AF33,"x")</f>
        <v/>
      </c>
      <c r="AH33" s="182" t="inlineStr">
        <is>
          <t>x</t>
        </is>
      </c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</row>
    <row r="34" ht="21" customHeight="1">
      <c r="B34" s="181" t="inlineStr">
        <is>
          <t>RF-32</t>
        </is>
      </c>
      <c r="C34" s="182" t="n"/>
      <c r="D34" s="182" t="n"/>
      <c r="E34" s="182" t="n"/>
      <c r="F34" s="182" t="n"/>
      <c r="G34" s="182" t="n"/>
      <c r="H34" s="182" t="n"/>
      <c r="I34" s="182" t="n"/>
      <c r="J34" s="182" t="n"/>
      <c r="K34" s="182" t="n"/>
      <c r="L34" s="182" t="n"/>
      <c r="M34" s="182" t="n"/>
      <c r="N34" s="182" t="n"/>
      <c r="O34" s="182" t="n"/>
      <c r="P34" s="182" t="n"/>
      <c r="Q34" s="182" t="n"/>
      <c r="R34" s="182" t="n"/>
      <c r="S34" s="182" t="n"/>
      <c r="T34" s="182" t="n"/>
      <c r="U34" s="182" t="n"/>
      <c r="V34" s="182" t="n"/>
      <c r="W34" s="182" t="inlineStr">
        <is>
          <t>x</t>
        </is>
      </c>
      <c r="X34" s="182" t="n"/>
      <c r="Y34" s="182" t="n"/>
      <c r="Z34" s="182" t="n"/>
      <c r="AA34" s="182" t="n"/>
      <c r="AB34" s="182" t="n"/>
      <c r="AC34" s="182" t="n"/>
      <c r="AD34" s="182" t="n"/>
      <c r="AE34" s="182" t="n"/>
      <c r="AF34" s="182" t="n"/>
      <c r="AG34" s="183">
        <f>COUNTIF(C34:AF34,"x")</f>
        <v/>
      </c>
      <c r="AH34" s="182" t="n"/>
      <c r="AI34" s="182" t="inlineStr">
        <is>
          <t>x</t>
        </is>
      </c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</row>
    <row r="35" ht="21" customHeight="1">
      <c r="B35" s="181" t="inlineStr">
        <is>
          <t>RF-33</t>
        </is>
      </c>
      <c r="C35" s="182" t="n"/>
      <c r="D35" s="182" t="n"/>
      <c r="E35" s="182" t="n"/>
      <c r="F35" s="182" t="n"/>
      <c r="G35" s="182" t="n"/>
      <c r="H35" s="182" t="n"/>
      <c r="I35" s="182" t="n"/>
      <c r="J35" s="182" t="n"/>
      <c r="K35" s="182" t="n"/>
      <c r="L35" s="182" t="n"/>
      <c r="M35" s="182" t="n"/>
      <c r="N35" s="182" t="n"/>
      <c r="O35" s="182" t="n"/>
      <c r="P35" s="182" t="n"/>
      <c r="Q35" s="182" t="inlineStr">
        <is>
          <t>x</t>
        </is>
      </c>
      <c r="R35" s="182" t="inlineStr">
        <is>
          <t>x</t>
        </is>
      </c>
      <c r="S35" s="182" t="n"/>
      <c r="T35" s="182" t="n"/>
      <c r="U35" s="182" t="n"/>
      <c r="V35" s="182" t="n"/>
      <c r="W35" s="182" t="n"/>
      <c r="X35" s="182" t="n"/>
      <c r="Y35" s="182" t="n"/>
      <c r="Z35" s="182" t="n"/>
      <c r="AA35" s="182" t="n"/>
      <c r="AB35" s="182" t="n"/>
      <c r="AC35" s="182" t="n"/>
      <c r="AD35" s="182" t="n"/>
      <c r="AE35" s="182" t="n"/>
      <c r="AF35" s="182" t="n"/>
      <c r="AG35" s="183">
        <f>COUNTIF(C35:AF35,"x")</f>
        <v/>
      </c>
      <c r="AH35" s="182" t="n"/>
      <c r="AI35" s="182" t="inlineStr">
        <is>
          <t>x</t>
        </is>
      </c>
      <c r="AJ35" s="182" t="n"/>
      <c r="AK35" s="182" t="n"/>
      <c r="AL35" s="182" t="n"/>
      <c r="AM35" s="182" t="n"/>
      <c r="AN35" s="182" t="n"/>
      <c r="AO35" s="182" t="n"/>
      <c r="AP35" s="182" t="inlineStr">
        <is>
          <t>x</t>
        </is>
      </c>
      <c r="AQ35" s="182" t="n"/>
      <c r="AR35" s="182" t="n"/>
      <c r="AS35" s="182" t="n"/>
      <c r="AT35" s="182" t="n"/>
      <c r="AU35" s="182" t="n"/>
      <c r="AV35" s="182" t="n"/>
      <c r="AW35" s="182" t="n"/>
    </row>
    <row r="36" ht="21" customHeight="1">
      <c r="B36" s="181" t="inlineStr">
        <is>
          <t>RF-34</t>
        </is>
      </c>
      <c r="C36" s="182" t="n"/>
      <c r="D36" s="182" t="n"/>
      <c r="E36" s="182" t="n"/>
      <c r="F36" s="182" t="n"/>
      <c r="G36" s="182" t="n"/>
      <c r="H36" s="182" t="n"/>
      <c r="I36" s="182" t="n"/>
      <c r="J36" s="182" t="n"/>
      <c r="K36" s="182" t="n"/>
      <c r="L36" s="182" t="n"/>
      <c r="M36" s="182" t="n"/>
      <c r="N36" s="182" t="n"/>
      <c r="O36" s="182" t="n"/>
      <c r="P36" s="182" t="n"/>
      <c r="Q36" s="182" t="inlineStr">
        <is>
          <t>x</t>
        </is>
      </c>
      <c r="R36" s="182" t="n"/>
      <c r="S36" s="182" t="n"/>
      <c r="T36" s="182" t="n"/>
      <c r="U36" s="182" t="n"/>
      <c r="V36" s="182" t="n"/>
      <c r="W36" s="182" t="n"/>
      <c r="X36" s="182" t="n"/>
      <c r="Y36" s="182" t="n"/>
      <c r="Z36" s="182" t="n"/>
      <c r="AA36" s="182" t="n"/>
      <c r="AB36" s="182" t="n"/>
      <c r="AC36" s="182" t="n"/>
      <c r="AD36" s="182" t="n"/>
      <c r="AE36" s="182" t="n"/>
      <c r="AF36" s="182" t="n"/>
      <c r="AG36" s="183">
        <f>COUNTIF(C36:AF36,"x")</f>
        <v/>
      </c>
      <c r="AH36" s="182" t="inlineStr">
        <is>
          <t>x</t>
        </is>
      </c>
      <c r="AI36" s="182" t="n"/>
      <c r="AJ36" s="182" t="n"/>
      <c r="AK36" s="182" t="n"/>
      <c r="AL36" s="182" t="inlineStr">
        <is>
          <t>x</t>
        </is>
      </c>
      <c r="AM36" s="182" t="n"/>
      <c r="AN36" s="182" t="n"/>
      <c r="AO36" s="182" t="n"/>
      <c r="AP36" s="182" t="n"/>
      <c r="AQ36" s="182" t="n"/>
      <c r="AR36" s="182" t="n"/>
      <c r="AS36" s="182" t="n"/>
      <c r="AT36" s="182" t="n"/>
      <c r="AU36" s="182" t="n"/>
      <c r="AV36" s="182" t="n"/>
      <c r="AW36" s="182" t="n"/>
    </row>
    <row r="37" ht="21" customHeight="1">
      <c r="B37" s="181" t="inlineStr">
        <is>
          <t>RF-35</t>
        </is>
      </c>
      <c r="C37" s="182" t="n"/>
      <c r="D37" s="182" t="n"/>
      <c r="E37" s="182" t="n"/>
      <c r="F37" s="182" t="n"/>
      <c r="G37" s="182" t="n"/>
      <c r="H37" s="182" t="n"/>
      <c r="I37" s="182" t="n"/>
      <c r="J37" s="182" t="n"/>
      <c r="K37" s="182" t="n"/>
      <c r="L37" s="182" t="n"/>
      <c r="M37" s="182" t="n"/>
      <c r="N37" s="182" t="n"/>
      <c r="O37" s="182" t="n"/>
      <c r="P37" s="182" t="n"/>
      <c r="Q37" s="182" t="n"/>
      <c r="R37" s="182" t="n"/>
      <c r="S37" s="182" t="inlineStr">
        <is>
          <t>x</t>
        </is>
      </c>
      <c r="T37" s="182" t="n"/>
      <c r="U37" s="182" t="n"/>
      <c r="V37" s="182" t="n"/>
      <c r="W37" s="182" t="n"/>
      <c r="X37" s="182" t="n"/>
      <c r="Y37" s="182" t="n"/>
      <c r="Z37" s="182" t="n"/>
      <c r="AA37" s="182" t="n"/>
      <c r="AB37" s="182" t="n"/>
      <c r="AC37" s="182" t="n"/>
      <c r="AD37" s="182" t="n"/>
      <c r="AE37" s="182" t="n"/>
      <c r="AF37" s="182" t="n"/>
      <c r="AG37" s="183">
        <f>COUNTIF(C37:AF37,"x")</f>
        <v/>
      </c>
      <c r="AH37" s="182" t="n"/>
      <c r="AI37" s="182" t="n"/>
      <c r="AJ37" s="182" t="n"/>
      <c r="AK37" s="182" t="n"/>
      <c r="AL37" s="182" t="inlineStr">
        <is>
          <t>x</t>
        </is>
      </c>
      <c r="AM37" s="182" t="n"/>
      <c r="AN37" s="182" t="n"/>
      <c r="AO37" s="182" t="n"/>
      <c r="AP37" s="182" t="n"/>
      <c r="AQ37" s="182" t="n"/>
      <c r="AR37" s="182" t="n"/>
      <c r="AS37" s="182" t="n"/>
      <c r="AT37" s="182" t="n"/>
      <c r="AU37" s="182" t="n"/>
      <c r="AV37" s="182" t="n"/>
      <c r="AW37" s="182" t="n"/>
    </row>
    <row r="38" ht="21" customHeight="1">
      <c r="B38" s="181" t="inlineStr">
        <is>
          <t>RF-36</t>
        </is>
      </c>
      <c r="C38" s="182" t="n"/>
      <c r="D38" s="182" t="n"/>
      <c r="E38" s="182" t="n"/>
      <c r="F38" s="182" t="n"/>
      <c r="G38" s="182" t="n"/>
      <c r="H38" s="182" t="n"/>
      <c r="I38" s="182" t="n"/>
      <c r="J38" s="182" t="n"/>
      <c r="K38" s="182" t="n"/>
      <c r="L38" s="182" t="n"/>
      <c r="M38" s="182" t="n"/>
      <c r="N38" s="182" t="n"/>
      <c r="O38" s="182" t="n"/>
      <c r="P38" s="182" t="n"/>
      <c r="Q38" s="182" t="n"/>
      <c r="R38" s="182" t="n"/>
      <c r="S38" s="182" t="n"/>
      <c r="T38" s="182" t="n"/>
      <c r="U38" s="182" t="n"/>
      <c r="V38" s="182" t="n"/>
      <c r="W38" s="182" t="n"/>
      <c r="X38" s="182" t="n"/>
      <c r="Y38" s="182" t="n"/>
      <c r="Z38" s="182" t="n"/>
      <c r="AA38" s="182" t="n"/>
      <c r="AB38" s="182" t="n"/>
      <c r="AC38" s="182" t="inlineStr">
        <is>
          <t>x</t>
        </is>
      </c>
      <c r="AD38" s="182" t="n"/>
      <c r="AE38" s="182" t="n"/>
      <c r="AF38" s="182" t="n"/>
      <c r="AG38" s="183">
        <f>COUNTIF(C38:AF38,"x")</f>
        <v/>
      </c>
      <c r="AH38" s="182" t="n"/>
      <c r="AI38" s="182" t="n"/>
      <c r="AJ38" s="182" t="n"/>
      <c r="AK38" s="182" t="n"/>
      <c r="AL38" s="182" t="n"/>
      <c r="AM38" s="182" t="inlineStr">
        <is>
          <t>x</t>
        </is>
      </c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2" t="n"/>
    </row>
    <row r="39" ht="21" customHeight="1">
      <c r="B39" s="181" t="inlineStr">
        <is>
          <t>RF-37</t>
        </is>
      </c>
      <c r="C39" s="182" t="n"/>
      <c r="D39" s="182" t="n"/>
      <c r="E39" s="182" t="n"/>
      <c r="F39" s="182" t="n"/>
      <c r="G39" s="182" t="inlineStr">
        <is>
          <t>x</t>
        </is>
      </c>
      <c r="H39" s="182" t="n"/>
      <c r="I39" s="182" t="n"/>
      <c r="J39" s="182" t="n"/>
      <c r="K39" s="182" t="n"/>
      <c r="L39" s="182" t="n"/>
      <c r="M39" s="182" t="n"/>
      <c r="N39" s="182" t="n"/>
      <c r="O39" s="182" t="n"/>
      <c r="P39" s="182" t="n"/>
      <c r="Q39" s="182" t="n"/>
      <c r="R39" s="182" t="n"/>
      <c r="S39" s="182" t="n"/>
      <c r="T39" s="182" t="n"/>
      <c r="U39" s="182" t="n"/>
      <c r="V39" s="182" t="n"/>
      <c r="W39" s="182" t="n"/>
      <c r="X39" s="182" t="n"/>
      <c r="Y39" s="182" t="n"/>
      <c r="Z39" s="182" t="n"/>
      <c r="AA39" s="182" t="n"/>
      <c r="AB39" s="182" t="n"/>
      <c r="AC39" s="182" t="n"/>
      <c r="AD39" s="182" t="n"/>
      <c r="AE39" s="182" t="n"/>
      <c r="AF39" s="182" t="n"/>
      <c r="AG39" s="183">
        <f>COUNTIF(C39:AF39,"x")</f>
        <v/>
      </c>
      <c r="AH39" s="182" t="n"/>
      <c r="AI39" s="182" t="n"/>
      <c r="AJ39" s="182" t="n"/>
      <c r="AK39" s="182" t="n"/>
      <c r="AL39" s="182" t="n"/>
      <c r="AM39" s="182" t="inlineStr">
        <is>
          <t>x</t>
        </is>
      </c>
      <c r="AN39" s="182" t="n"/>
      <c r="AO39" s="182" t="n"/>
      <c r="AP39" s="182" t="n"/>
      <c r="AQ39" s="182" t="n"/>
      <c r="AR39" s="182" t="n"/>
      <c r="AS39" s="182" t="n"/>
      <c r="AT39" s="182" t="n"/>
      <c r="AU39" s="182" t="n"/>
      <c r="AV39" s="182" t="n"/>
      <c r="AW39" s="182" t="n"/>
    </row>
    <row r="40" ht="21" customHeight="1">
      <c r="B40" s="181" t="inlineStr">
        <is>
          <t>RF-38</t>
        </is>
      </c>
      <c r="C40" s="182" t="n"/>
      <c r="D40" s="182" t="inlineStr">
        <is>
          <t>x</t>
        </is>
      </c>
      <c r="E40" s="182" t="n"/>
      <c r="F40" s="182" t="n"/>
      <c r="G40" s="182" t="n"/>
      <c r="H40" s="182" t="n"/>
      <c r="I40" s="182" t="n"/>
      <c r="J40" s="182" t="inlineStr">
        <is>
          <t>x</t>
        </is>
      </c>
      <c r="K40" s="182" t="n"/>
      <c r="L40" s="182" t="n"/>
      <c r="M40" s="182" t="n"/>
      <c r="N40" s="182" t="n"/>
      <c r="O40" s="182" t="n"/>
      <c r="P40" s="182" t="n"/>
      <c r="Q40" s="182" t="n"/>
      <c r="R40" s="182" t="n"/>
      <c r="S40" s="182" t="n"/>
      <c r="T40" s="182" t="n"/>
      <c r="U40" s="182" t="n"/>
      <c r="V40" s="182" t="n"/>
      <c r="W40" s="182" t="n"/>
      <c r="X40" s="182" t="n"/>
      <c r="Y40" s="182" t="n"/>
      <c r="Z40" s="182" t="n"/>
      <c r="AA40" s="182" t="n"/>
      <c r="AB40" s="182" t="n"/>
      <c r="AC40" s="182" t="n"/>
      <c r="AD40" s="182" t="n"/>
      <c r="AE40" s="182" t="n"/>
      <c r="AF40" s="182" t="n"/>
      <c r="AG40" s="183">
        <f>COUNTIF(C40:AF40,"x")</f>
        <v/>
      </c>
      <c r="AH40" s="182" t="inlineStr">
        <is>
          <t>x</t>
        </is>
      </c>
      <c r="AI40" s="182" t="inlineStr">
        <is>
          <t>x</t>
        </is>
      </c>
      <c r="AJ40" s="182" t="inlineStr">
        <is>
          <t>x</t>
        </is>
      </c>
      <c r="AK40" s="182" t="n"/>
      <c r="AL40" s="182" t="n"/>
      <c r="AM40" s="182" t="n"/>
      <c r="AN40" s="182" t="n"/>
      <c r="AO40" s="182" t="n"/>
      <c r="AP40" s="182" t="n"/>
      <c r="AQ40" s="182" t="n"/>
      <c r="AR40" s="182" t="n"/>
      <c r="AS40" s="182" t="n"/>
      <c r="AT40" s="182" t="n"/>
      <c r="AU40" s="182" t="n"/>
      <c r="AV40" s="182" t="n"/>
      <c r="AW40" s="182" t="n"/>
    </row>
    <row r="41" ht="21" customHeight="1">
      <c r="B41" s="181" t="inlineStr">
        <is>
          <t>RF-39</t>
        </is>
      </c>
      <c r="C41" s="182" t="n"/>
      <c r="D41" s="182" t="n"/>
      <c r="E41" s="182" t="n"/>
      <c r="F41" s="182" t="n"/>
      <c r="G41" s="182" t="n"/>
      <c r="H41" s="182" t="n"/>
      <c r="I41" s="182" t="n"/>
      <c r="J41" s="182" t="n"/>
      <c r="K41" s="182" t="n"/>
      <c r="L41" s="182" t="n"/>
      <c r="M41" s="182" t="n"/>
      <c r="N41" s="182" t="n"/>
      <c r="O41" s="182" t="n"/>
      <c r="P41" s="182" t="n"/>
      <c r="Q41" s="182" t="n"/>
      <c r="R41" s="182" t="n"/>
      <c r="S41" s="182" t="n"/>
      <c r="T41" s="182" t="n"/>
      <c r="U41" s="182" t="inlineStr">
        <is>
          <t>x</t>
        </is>
      </c>
      <c r="V41" s="182" t="n"/>
      <c r="W41" s="182" t="n"/>
      <c r="X41" s="182" t="n"/>
      <c r="Y41" s="182" t="n"/>
      <c r="Z41" s="182" t="n"/>
      <c r="AA41" s="182" t="n"/>
      <c r="AB41" s="182" t="n"/>
      <c r="AC41" s="182" t="n"/>
      <c r="AD41" s="182" t="n"/>
      <c r="AE41" s="182" t="n"/>
      <c r="AF41" s="182" t="n"/>
      <c r="AG41" s="183">
        <f>COUNTIF(C41:AF41,"x")</f>
        <v/>
      </c>
      <c r="AH41" s="182" t="n"/>
      <c r="AI41" s="182" t="inlineStr">
        <is>
          <t>x</t>
        </is>
      </c>
      <c r="AJ41" s="182" t="n"/>
      <c r="AK41" s="182" t="n"/>
      <c r="AL41" s="182" t="n"/>
      <c r="AM41" s="182" t="n"/>
      <c r="AN41" s="182" t="n"/>
      <c r="AO41" s="182" t="n"/>
      <c r="AP41" s="182" t="n"/>
      <c r="AQ41" s="182" t="n"/>
      <c r="AR41" s="182" t="n"/>
      <c r="AS41" s="182" t="n"/>
      <c r="AT41" s="182" t="n"/>
      <c r="AU41" s="182" t="n"/>
      <c r="AV41" s="182" t="n"/>
      <c r="AW41" s="182" t="n"/>
    </row>
    <row r="42" ht="21" customHeight="1">
      <c r="B42" s="181" t="inlineStr">
        <is>
          <t>RF-40</t>
        </is>
      </c>
      <c r="C42" s="182" t="n"/>
      <c r="D42" s="182" t="n"/>
      <c r="E42" s="182" t="n"/>
      <c r="F42" s="182" t="n"/>
      <c r="G42" s="182" t="n"/>
      <c r="H42" s="182" t="n"/>
      <c r="I42" s="182" t="n"/>
      <c r="J42" s="182" t="n"/>
      <c r="K42" s="182" t="n"/>
      <c r="L42" s="182" t="n"/>
      <c r="M42" s="182" t="n"/>
      <c r="N42" s="182" t="n"/>
      <c r="O42" s="182" t="n"/>
      <c r="P42" s="182" t="n"/>
      <c r="Q42" s="182" t="n"/>
      <c r="R42" s="182" t="n"/>
      <c r="S42" s="182" t="n"/>
      <c r="T42" s="182" t="n"/>
      <c r="U42" s="182" t="n"/>
      <c r="V42" s="182" t="n"/>
      <c r="W42" s="182" t="n"/>
      <c r="X42" s="182" t="n"/>
      <c r="Y42" s="182" t="inlineStr">
        <is>
          <t>x</t>
        </is>
      </c>
      <c r="Z42" s="182" t="n"/>
      <c r="AA42" s="182" t="n"/>
      <c r="AB42" s="182" t="n"/>
      <c r="AC42" s="182" t="n"/>
      <c r="AD42" s="182" t="n"/>
      <c r="AE42" s="182" t="n"/>
      <c r="AF42" s="182" t="n"/>
      <c r="AG42" s="183">
        <f>COUNTIF(C42:AF42,"x")</f>
        <v/>
      </c>
      <c r="AH42" s="182" t="n"/>
      <c r="AI42" s="182" t="n"/>
      <c r="AJ42" s="182" t="n"/>
      <c r="AK42" s="182" t="n"/>
      <c r="AL42" s="182" t="n"/>
      <c r="AM42" s="182" t="n"/>
      <c r="AN42" s="182" t="inlineStr">
        <is>
          <t>x</t>
        </is>
      </c>
      <c r="AO42" s="182" t="n"/>
      <c r="AP42" s="182" t="n"/>
      <c r="AQ42" s="182" t="n"/>
      <c r="AR42" s="182" t="n"/>
      <c r="AS42" s="182" t="n"/>
      <c r="AT42" s="182" t="n"/>
      <c r="AU42" s="182" t="n"/>
      <c r="AV42" s="182" t="n"/>
      <c r="AW42" s="182" t="n"/>
    </row>
    <row r="43" ht="21" customHeight="1">
      <c r="B43" s="181" t="inlineStr">
        <is>
          <t>RF-41</t>
        </is>
      </c>
      <c r="C43" s="182" t="n"/>
      <c r="D43" s="182" t="n"/>
      <c r="E43" s="182" t="n"/>
      <c r="F43" s="182" t="n"/>
      <c r="G43" s="182" t="n"/>
      <c r="H43" s="182" t="n"/>
      <c r="I43" s="182" t="n"/>
      <c r="J43" s="182" t="n"/>
      <c r="K43" s="182" t="n"/>
      <c r="L43" s="182" t="n"/>
      <c r="M43" s="182" t="n"/>
      <c r="N43" s="182" t="n"/>
      <c r="O43" s="182" t="n"/>
      <c r="P43" s="182" t="n"/>
      <c r="Q43" s="182" t="n"/>
      <c r="R43" s="182" t="n"/>
      <c r="S43" s="182" t="n"/>
      <c r="T43" s="182" t="n"/>
      <c r="U43" s="182" t="n"/>
      <c r="V43" s="182" t="n"/>
      <c r="W43" s="182" t="n"/>
      <c r="X43" s="182" t="n"/>
      <c r="Y43" s="182" t="n"/>
      <c r="Z43" s="182" t="inlineStr">
        <is>
          <t>x</t>
        </is>
      </c>
      <c r="AA43" s="182" t="n"/>
      <c r="AB43" s="182" t="n"/>
      <c r="AC43" s="182" t="n"/>
      <c r="AD43" s="182" t="n"/>
      <c r="AE43" s="182" t="n"/>
      <c r="AF43" s="182" t="n"/>
      <c r="AG43" s="183">
        <f>COUNTIF(C43:AF43,"x")</f>
        <v/>
      </c>
      <c r="AH43" s="182" t="n"/>
      <c r="AI43" s="182" t="n"/>
      <c r="AJ43" s="182" t="n"/>
      <c r="AK43" s="182" t="n"/>
      <c r="AL43" s="182" t="n"/>
      <c r="AM43" s="182" t="n"/>
      <c r="AN43" s="182" t="n"/>
      <c r="AO43" s="182" t="inlineStr">
        <is>
          <t>x</t>
        </is>
      </c>
      <c r="AP43" s="182" t="n"/>
      <c r="AQ43" s="182" t="n"/>
      <c r="AR43" s="182" t="n"/>
      <c r="AS43" s="182" t="n"/>
      <c r="AT43" s="182" t="n"/>
      <c r="AU43" s="182" t="n"/>
      <c r="AV43" s="182" t="n"/>
      <c r="AW43" s="182" t="n"/>
    </row>
    <row r="44" ht="21" customHeight="1">
      <c r="B44" s="181" t="inlineStr">
        <is>
          <t>RF-42</t>
        </is>
      </c>
      <c r="C44" s="182" t="n"/>
      <c r="D44" s="182" t="n"/>
      <c r="E44" s="182" t="n"/>
      <c r="F44" s="182" t="n"/>
      <c r="G44" s="182" t="n"/>
      <c r="H44" s="182" t="n"/>
      <c r="I44" s="182" t="n"/>
      <c r="J44" s="182" t="n"/>
      <c r="K44" s="182" t="n"/>
      <c r="L44" s="182" t="n"/>
      <c r="M44" s="182" t="n"/>
      <c r="N44" s="182" t="n"/>
      <c r="O44" s="182" t="n"/>
      <c r="P44" s="182" t="n"/>
      <c r="Q44" s="182" t="n"/>
      <c r="R44" s="182" t="inlineStr">
        <is>
          <t>x</t>
        </is>
      </c>
      <c r="S44" s="182" t="n"/>
      <c r="T44" s="182" t="n"/>
      <c r="U44" s="182" t="n"/>
      <c r="V44" s="182" t="n"/>
      <c r="W44" s="182" t="n"/>
      <c r="X44" s="182" t="n"/>
      <c r="Y44" s="182" t="n"/>
      <c r="Z44" s="182" t="n"/>
      <c r="AA44" s="182" t="inlineStr">
        <is>
          <t>x</t>
        </is>
      </c>
      <c r="AB44" s="182" t="n"/>
      <c r="AC44" s="182" t="n"/>
      <c r="AD44" s="182" t="n"/>
      <c r="AE44" s="182" t="n"/>
      <c r="AF44" s="182" t="n"/>
      <c r="AG44" s="183">
        <f>COUNTIF(C44:AF44,"x")</f>
        <v/>
      </c>
      <c r="AH44" s="182" t="n"/>
      <c r="AI44" s="182" t="n"/>
      <c r="AJ44" s="182" t="n"/>
      <c r="AK44" s="182" t="n"/>
      <c r="AL44" s="182" t="n"/>
      <c r="AM44" s="182" t="n"/>
      <c r="AN44" s="182" t="n"/>
      <c r="AO44" s="182" t="n"/>
      <c r="AP44" s="182" t="inlineStr">
        <is>
          <t>x</t>
        </is>
      </c>
      <c r="AQ44" s="182" t="n"/>
      <c r="AR44" s="182" t="n"/>
      <c r="AS44" s="182" t="n"/>
      <c r="AT44" s="182" t="n"/>
      <c r="AU44" s="182" t="n"/>
      <c r="AV44" s="182" t="n"/>
      <c r="AW44" s="182" t="n"/>
    </row>
    <row r="45" ht="21" customHeight="1">
      <c r="B45" s="181" t="inlineStr">
        <is>
          <t>RF-43</t>
        </is>
      </c>
      <c r="C45" s="182" t="n"/>
      <c r="D45" s="182" t="n"/>
      <c r="E45" s="182" t="n"/>
      <c r="F45" s="182" t="n"/>
      <c r="G45" s="182" t="n"/>
      <c r="H45" s="182" t="n"/>
      <c r="I45" s="182" t="inlineStr">
        <is>
          <t>x</t>
        </is>
      </c>
      <c r="J45" s="182" t="n"/>
      <c r="K45" s="182" t="n"/>
      <c r="L45" s="182" t="n"/>
      <c r="M45" s="182" t="n"/>
      <c r="N45" s="182" t="n"/>
      <c r="O45" s="182" t="n"/>
      <c r="P45" s="182" t="n"/>
      <c r="Q45" s="182" t="n"/>
      <c r="R45" s="182" t="n"/>
      <c r="S45" s="182" t="n"/>
      <c r="T45" s="182" t="n"/>
      <c r="U45" s="182" t="n"/>
      <c r="V45" s="182" t="n"/>
      <c r="W45" s="182" t="n"/>
      <c r="X45" s="182" t="n"/>
      <c r="Y45" s="182" t="n"/>
      <c r="Z45" s="182" t="n"/>
      <c r="AA45" s="182" t="n"/>
      <c r="AB45" s="182" t="inlineStr">
        <is>
          <t>x</t>
        </is>
      </c>
      <c r="AC45" s="182" t="n"/>
      <c r="AD45" s="182" t="n"/>
      <c r="AE45" s="182" t="n"/>
      <c r="AF45" s="182" t="n"/>
      <c r="AG45" s="183">
        <f>COUNTIF(C45:AF45,"x")</f>
        <v/>
      </c>
      <c r="AH45" s="182" t="n"/>
      <c r="AI45" s="182" t="n"/>
      <c r="AJ45" s="182" t="n"/>
      <c r="AK45" s="182" t="n"/>
      <c r="AL45" s="182" t="inlineStr">
        <is>
          <t>x</t>
        </is>
      </c>
      <c r="AM45" s="182" t="n"/>
      <c r="AN45" s="182" t="n"/>
      <c r="AO45" s="182" t="n"/>
      <c r="AP45" s="182" t="n"/>
      <c r="AQ45" s="182" t="n"/>
      <c r="AR45" s="182" t="n"/>
      <c r="AS45" s="182" t="n"/>
      <c r="AT45" s="182" t="n"/>
      <c r="AU45" s="182" t="n"/>
      <c r="AV45" s="182" t="inlineStr">
        <is>
          <t>x</t>
        </is>
      </c>
      <c r="AW45" s="182" t="n"/>
    </row>
    <row r="46" ht="21" customHeight="1">
      <c r="B46" s="181" t="inlineStr">
        <is>
          <t>RF-44</t>
        </is>
      </c>
      <c r="C46" s="182" t="n"/>
      <c r="D46" s="182" t="n"/>
      <c r="E46" s="182" t="n"/>
      <c r="F46" s="182" t="n"/>
      <c r="G46" s="182" t="n"/>
      <c r="H46" s="182" t="n"/>
      <c r="I46" s="182" t="n"/>
      <c r="J46" s="182" t="n"/>
      <c r="K46" s="182" t="n"/>
      <c r="L46" s="182" t="n"/>
      <c r="M46" s="182" t="n"/>
      <c r="N46" s="182" t="n"/>
      <c r="O46" s="182" t="n"/>
      <c r="P46" s="182" t="n"/>
      <c r="Q46" s="182" t="n"/>
      <c r="R46" s="182" t="n"/>
      <c r="S46" s="182" t="n"/>
      <c r="T46" s="182" t="n"/>
      <c r="U46" s="182" t="n"/>
      <c r="V46" s="182" t="n"/>
      <c r="W46" s="182" t="n"/>
      <c r="X46" s="182" t="inlineStr">
        <is>
          <t>x</t>
        </is>
      </c>
      <c r="Y46" s="182" t="n"/>
      <c r="Z46" s="182" t="n"/>
      <c r="AA46" s="182" t="n"/>
      <c r="AB46" s="182" t="n"/>
      <c r="AC46" s="182" t="n"/>
      <c r="AD46" s="182" t="n"/>
      <c r="AE46" s="182" t="n"/>
      <c r="AF46" s="182" t="n"/>
      <c r="AG46" s="183">
        <f>COUNTIF(C46:AF46,"x")</f>
        <v/>
      </c>
      <c r="AH46" s="182" t="n"/>
      <c r="AI46" s="182" t="n"/>
      <c r="AJ46" s="182" t="n"/>
      <c r="AK46" s="182" t="n"/>
      <c r="AL46" s="182" t="n"/>
      <c r="AM46" s="182" t="n"/>
      <c r="AN46" s="182" t="n"/>
      <c r="AO46" s="182" t="n"/>
      <c r="AP46" s="182" t="n"/>
      <c r="AQ46" s="182" t="n"/>
      <c r="AR46" s="182" t="n"/>
      <c r="AS46" s="182" t="inlineStr">
        <is>
          <t>x</t>
        </is>
      </c>
      <c r="AT46" s="182" t="n"/>
      <c r="AU46" s="182" t="n"/>
      <c r="AV46" s="182" t="n"/>
      <c r="AW46" s="182" t="n"/>
    </row>
    <row r="47" ht="21" customHeight="1">
      <c r="B47" s="181" t="inlineStr">
        <is>
          <t>RF-45</t>
        </is>
      </c>
      <c r="C47" s="182" t="n"/>
      <c r="D47" s="182" t="n"/>
      <c r="E47" s="182" t="n"/>
      <c r="F47" s="182" t="n"/>
      <c r="G47" s="182" t="n"/>
      <c r="H47" s="182" t="n"/>
      <c r="I47" s="182" t="n"/>
      <c r="J47" s="182" t="n"/>
      <c r="K47" s="182" t="n"/>
      <c r="L47" s="182" t="n"/>
      <c r="M47" s="182" t="n"/>
      <c r="N47" s="182" t="n"/>
      <c r="O47" s="182" t="n"/>
      <c r="P47" s="182" t="n"/>
      <c r="Q47" s="182" t="n"/>
      <c r="R47" s="182" t="n"/>
      <c r="S47" s="182" t="n"/>
      <c r="T47" s="182" t="n"/>
      <c r="U47" s="182" t="n"/>
      <c r="V47" s="182" t="n"/>
      <c r="W47" s="182" t="n"/>
      <c r="X47" s="182" t="inlineStr">
        <is>
          <t>x</t>
        </is>
      </c>
      <c r="Y47" s="182" t="n"/>
      <c r="Z47" s="182" t="n"/>
      <c r="AA47" s="182" t="n"/>
      <c r="AB47" s="182" t="n"/>
      <c r="AC47" s="182" t="n"/>
      <c r="AD47" s="182" t="n"/>
      <c r="AE47" s="182" t="n"/>
      <c r="AF47" s="182" t="n"/>
      <c r="AG47" s="183">
        <f>COUNTIF(C47:AF47,"x")</f>
        <v/>
      </c>
      <c r="AH47" s="182" t="n"/>
      <c r="AI47" s="182" t="n"/>
      <c r="AJ47" s="182" t="n"/>
      <c r="AK47" s="182" t="n"/>
      <c r="AL47" s="182" t="n"/>
      <c r="AM47" s="182" t="n"/>
      <c r="AN47" s="182" t="n"/>
      <c r="AO47" s="182" t="n"/>
      <c r="AP47" s="182" t="n"/>
      <c r="AQ47" s="182" t="n"/>
      <c r="AR47" s="182" t="n"/>
      <c r="AS47" s="182" t="inlineStr">
        <is>
          <t>x</t>
        </is>
      </c>
      <c r="AT47" s="182" t="n"/>
      <c r="AU47" s="182" t="n"/>
      <c r="AV47" s="182" t="n"/>
      <c r="AW47" s="182" t="n"/>
    </row>
    <row r="48" ht="21" customHeight="1">
      <c r="B48" s="181" t="inlineStr">
        <is>
          <t>RF-46</t>
        </is>
      </c>
      <c r="C48" s="182" t="n"/>
      <c r="D48" s="182" t="n"/>
      <c r="E48" s="182" t="n"/>
      <c r="F48" s="182" t="n"/>
      <c r="G48" s="182" t="n"/>
      <c r="H48" s="182" t="n"/>
      <c r="I48" s="182" t="n"/>
      <c r="J48" s="182" t="n"/>
      <c r="K48" s="182" t="n"/>
      <c r="L48" s="182" t="n"/>
      <c r="M48" s="182" t="n"/>
      <c r="N48" s="182" t="n"/>
      <c r="O48" s="182" t="n"/>
      <c r="P48" s="182" t="n"/>
      <c r="Q48" s="182" t="n"/>
      <c r="R48" s="182" t="n"/>
      <c r="S48" s="182" t="n"/>
      <c r="T48" s="182" t="n"/>
      <c r="U48" s="182" t="n"/>
      <c r="V48" s="182" t="n"/>
      <c r="W48" s="182" t="n"/>
      <c r="X48" s="182" t="inlineStr">
        <is>
          <t>x</t>
        </is>
      </c>
      <c r="Y48" s="182" t="n"/>
      <c r="Z48" s="182" t="n"/>
      <c r="AA48" s="182" t="n"/>
      <c r="AB48" s="182" t="n"/>
      <c r="AC48" s="182" t="n"/>
      <c r="AD48" s="182" t="n"/>
      <c r="AE48" s="182" t="n"/>
      <c r="AF48" s="182" t="n"/>
      <c r="AG48" s="183">
        <f>COUNTIF(C48:AF48,"x")</f>
        <v/>
      </c>
      <c r="AH48" s="182" t="n"/>
      <c r="AI48" s="182" t="n"/>
      <c r="AJ48" s="182" t="n"/>
      <c r="AK48" s="182" t="n"/>
      <c r="AL48" s="182" t="n"/>
      <c r="AM48" s="182" t="n"/>
      <c r="AN48" s="182" t="n"/>
      <c r="AO48" s="182" t="n"/>
      <c r="AP48" s="182" t="n"/>
      <c r="AQ48" s="182" t="n"/>
      <c r="AR48" s="182" t="n"/>
      <c r="AS48" s="182" t="inlineStr">
        <is>
          <t>x</t>
        </is>
      </c>
      <c r="AT48" s="182" t="n"/>
      <c r="AU48" s="182" t="n"/>
      <c r="AV48" s="182" t="n"/>
      <c r="AW48" s="182" t="n"/>
    </row>
    <row r="49" ht="21" customHeight="1">
      <c r="B49" s="181" t="inlineStr">
        <is>
          <t>RF-47</t>
        </is>
      </c>
      <c r="C49" s="182" t="n"/>
      <c r="D49" s="182" t="n"/>
      <c r="E49" s="182" t="n"/>
      <c r="F49" s="182" t="n"/>
      <c r="G49" s="182" t="n"/>
      <c r="H49" s="182" t="n"/>
      <c r="I49" s="182" t="n"/>
      <c r="J49" s="182" t="n"/>
      <c r="K49" s="182" t="n"/>
      <c r="L49" s="182" t="n"/>
      <c r="M49" s="182" t="n"/>
      <c r="N49" s="182" t="n"/>
      <c r="O49" s="182" t="n"/>
      <c r="P49" s="182" t="n"/>
      <c r="Q49" s="182" t="n"/>
      <c r="R49" s="182" t="n"/>
      <c r="S49" s="182" t="n"/>
      <c r="T49" s="182" t="n"/>
      <c r="U49" s="182" t="n"/>
      <c r="V49" s="182" t="n"/>
      <c r="W49" s="182" t="n"/>
      <c r="X49" s="182" t="n"/>
      <c r="Y49" s="182" t="n"/>
      <c r="Z49" s="182" t="n"/>
      <c r="AA49" s="182" t="n"/>
      <c r="AB49" s="182" t="n"/>
      <c r="AC49" s="182" t="n"/>
      <c r="AD49" s="182" t="n"/>
      <c r="AE49" s="182" t="n"/>
      <c r="AF49" s="182" t="inlineStr">
        <is>
          <t>x</t>
        </is>
      </c>
      <c r="AG49" s="183">
        <f>COUNTIF(C49:AF49,"x")</f>
        <v/>
      </c>
      <c r="AH49" s="182" t="n"/>
      <c r="AI49" s="182" t="n"/>
      <c r="AJ49" s="182" t="n"/>
      <c r="AK49" s="182" t="n"/>
      <c r="AL49" s="182" t="n"/>
      <c r="AM49" s="182" t="n"/>
      <c r="AN49" s="182" t="n"/>
      <c r="AO49" s="182" t="n"/>
      <c r="AP49" s="182" t="n"/>
      <c r="AQ49" s="182" t="n"/>
      <c r="AR49" s="182" t="n"/>
      <c r="AS49" s="182" t="n"/>
      <c r="AT49" s="182" t="inlineStr">
        <is>
          <t>x</t>
        </is>
      </c>
      <c r="AU49" s="182" t="n"/>
      <c r="AV49" s="182" t="n"/>
      <c r="AW49" s="182" t="n"/>
    </row>
    <row r="50" ht="21" customHeight="1">
      <c r="B50" s="181" t="inlineStr">
        <is>
          <t>RF-48</t>
        </is>
      </c>
      <c r="C50" s="182" t="n"/>
      <c r="D50" s="182" t="n"/>
      <c r="E50" s="182" t="n"/>
      <c r="F50" s="182" t="n"/>
      <c r="G50" s="182" t="n"/>
      <c r="H50" s="182" t="n"/>
      <c r="I50" s="182" t="n"/>
      <c r="J50" s="182" t="n"/>
      <c r="K50" s="182" t="n"/>
      <c r="L50" s="182" t="n"/>
      <c r="M50" s="182" t="inlineStr">
        <is>
          <t>x</t>
        </is>
      </c>
      <c r="N50" s="182" t="n"/>
      <c r="O50" s="182" t="n"/>
      <c r="P50" s="182" t="n"/>
      <c r="Q50" s="182" t="n"/>
      <c r="R50" s="182" t="n"/>
      <c r="S50" s="182" t="n"/>
      <c r="T50" s="182" t="n"/>
      <c r="U50" s="182" t="n"/>
      <c r="V50" s="182" t="n"/>
      <c r="W50" s="182" t="n"/>
      <c r="X50" s="182" t="n"/>
      <c r="Y50" s="182" t="n"/>
      <c r="Z50" s="182" t="n"/>
      <c r="AA50" s="182" t="n"/>
      <c r="AB50" s="182" t="n"/>
      <c r="AC50" s="182" t="n"/>
      <c r="AD50" s="182" t="n"/>
      <c r="AE50" s="182" t="n"/>
      <c r="AF50" s="182" t="n"/>
      <c r="AG50" s="183">
        <f>COUNTIF(C50:AF50,"x")</f>
        <v/>
      </c>
      <c r="AH50" s="182" t="n"/>
      <c r="AI50" s="182" t="n"/>
      <c r="AJ50" s="182" t="n"/>
      <c r="AK50" s="182" t="n"/>
      <c r="AL50" s="182" t="n"/>
      <c r="AM50" s="182" t="n"/>
      <c r="AN50" s="182" t="n"/>
      <c r="AO50" s="182" t="n"/>
      <c r="AP50" s="182" t="n"/>
      <c r="AQ50" s="182" t="n"/>
      <c r="AR50" s="182" t="n"/>
      <c r="AS50" s="182" t="n"/>
      <c r="AT50" s="182" t="n"/>
      <c r="AU50" s="182" t="n"/>
      <c r="AV50" s="182" t="n"/>
      <c r="AW50" s="182" t="n"/>
    </row>
    <row r="51" ht="21" customHeight="1">
      <c r="B51" s="181" t="inlineStr">
        <is>
          <t>RF-49</t>
        </is>
      </c>
      <c r="C51" s="182" t="n"/>
      <c r="D51" s="182" t="n"/>
      <c r="E51" s="182" t="n"/>
      <c r="F51" s="182" t="n"/>
      <c r="G51" s="182" t="n"/>
      <c r="H51" s="182" t="n"/>
      <c r="I51" s="182" t="n"/>
      <c r="J51" s="182" t="n"/>
      <c r="K51" s="182" t="n"/>
      <c r="L51" s="182" t="inlineStr">
        <is>
          <t>x</t>
        </is>
      </c>
      <c r="M51" s="182" t="n"/>
      <c r="N51" s="182" t="n"/>
      <c r="O51" s="182" t="n"/>
      <c r="P51" s="182" t="n"/>
      <c r="Q51" s="182" t="n"/>
      <c r="R51" s="182" t="n"/>
      <c r="S51" s="182" t="n"/>
      <c r="T51" s="182" t="n"/>
      <c r="U51" s="182" t="n"/>
      <c r="V51" s="182" t="n"/>
      <c r="W51" s="182" t="n"/>
      <c r="X51" s="182" t="n"/>
      <c r="Y51" s="182" t="n"/>
      <c r="Z51" s="182" t="n"/>
      <c r="AA51" s="182" t="n"/>
      <c r="AB51" s="182" t="n"/>
      <c r="AC51" s="182" t="n"/>
      <c r="AD51" s="182" t="n"/>
      <c r="AE51" s="182" t="n"/>
      <c r="AF51" s="182" t="n"/>
      <c r="AG51" s="183">
        <f>COUNTIF(C51:AF51,"x")</f>
        <v/>
      </c>
      <c r="AH51" s="182" t="n"/>
      <c r="AI51" s="182" t="inlineStr">
        <is>
          <t>x</t>
        </is>
      </c>
      <c r="AJ51" s="182" t="n"/>
      <c r="AK51" s="182" t="n"/>
      <c r="AL51" s="182" t="n"/>
      <c r="AM51" s="182" t="n"/>
      <c r="AN51" s="182" t="n"/>
      <c r="AO51" s="182" t="n"/>
      <c r="AP51" s="182" t="n"/>
      <c r="AQ51" s="182" t="n"/>
      <c r="AR51" s="182" t="n"/>
      <c r="AS51" s="182" t="n"/>
      <c r="AT51" s="182" t="n"/>
      <c r="AU51" s="182" t="n"/>
      <c r="AV51" s="182" t="n"/>
      <c r="AW51" s="182" t="n"/>
    </row>
    <row r="52" ht="21" customHeight="1">
      <c r="B52" s="181" t="inlineStr">
        <is>
          <t>RF-50</t>
        </is>
      </c>
      <c r="C52" s="182" t="n"/>
      <c r="D52" s="182" t="n"/>
      <c r="E52" s="182" t="n"/>
      <c r="F52" s="182" t="n"/>
      <c r="G52" s="182" t="n"/>
      <c r="H52" s="182" t="n"/>
      <c r="I52" s="182" t="n"/>
      <c r="J52" s="182" t="n"/>
      <c r="K52" s="182" t="n"/>
      <c r="L52" s="182" t="n"/>
      <c r="M52" s="182" t="n"/>
      <c r="N52" s="182" t="inlineStr">
        <is>
          <t>x</t>
        </is>
      </c>
      <c r="O52" s="182" t="n"/>
      <c r="P52" s="182" t="n"/>
      <c r="Q52" s="182" t="n"/>
      <c r="R52" s="182" t="n"/>
      <c r="S52" s="182" t="n"/>
      <c r="T52" s="182" t="n"/>
      <c r="U52" s="182" t="n"/>
      <c r="V52" s="182" t="n"/>
      <c r="W52" s="182" t="n"/>
      <c r="X52" s="182" t="n"/>
      <c r="Y52" s="182" t="n"/>
      <c r="Z52" s="182" t="n"/>
      <c r="AA52" s="182" t="n"/>
      <c r="AB52" s="182" t="n"/>
      <c r="AC52" s="182" t="n"/>
      <c r="AD52" s="182" t="n"/>
      <c r="AE52" s="182" t="n"/>
      <c r="AF52" s="182" t="n"/>
      <c r="AG52" s="183">
        <f>COUNTIF(C52:AF52,"x")</f>
        <v/>
      </c>
      <c r="AH52" s="182" t="inlineStr">
        <is>
          <t>x</t>
        </is>
      </c>
      <c r="AI52" s="182" t="n"/>
      <c r="AJ52" s="182" t="n"/>
      <c r="AK52" s="182" t="n"/>
      <c r="AL52" s="182" t="n"/>
      <c r="AM52" s="182" t="n"/>
      <c r="AN52" s="182" t="n"/>
      <c r="AO52" s="182" t="n"/>
      <c r="AP52" s="182" t="n"/>
      <c r="AQ52" s="182" t="n"/>
      <c r="AR52" s="182" t="n"/>
      <c r="AS52" s="182" t="n"/>
      <c r="AT52" s="182" t="n"/>
      <c r="AU52" s="182" t="n"/>
      <c r="AV52" s="182" t="n"/>
      <c r="AW52" s="182" t="n"/>
    </row>
    <row r="53" ht="21" customHeight="1">
      <c r="B53" s="181" t="inlineStr">
        <is>
          <t>RF-51</t>
        </is>
      </c>
      <c r="C53" s="182" t="n"/>
      <c r="D53" s="182" t="n"/>
      <c r="E53" s="182" t="n"/>
      <c r="F53" s="182" t="n"/>
      <c r="G53" s="182" t="n"/>
      <c r="H53" s="182" t="n"/>
      <c r="I53" s="182" t="inlineStr">
        <is>
          <t>x</t>
        </is>
      </c>
      <c r="J53" s="182" t="n"/>
      <c r="K53" s="182" t="n"/>
      <c r="L53" s="182" t="n"/>
      <c r="M53" s="182" t="n"/>
      <c r="N53" s="182" t="n"/>
      <c r="O53" s="182" t="n"/>
      <c r="P53" s="182" t="n"/>
      <c r="Q53" s="182" t="n"/>
      <c r="R53" s="182" t="n"/>
      <c r="S53" s="182" t="n"/>
      <c r="T53" s="182" t="n"/>
      <c r="U53" s="182" t="n"/>
      <c r="V53" s="182" t="n"/>
      <c r="W53" s="182" t="n"/>
      <c r="X53" s="182" t="n"/>
      <c r="Y53" s="182" t="n"/>
      <c r="Z53" s="182" t="n"/>
      <c r="AA53" s="182" t="n"/>
      <c r="AB53" s="182" t="n"/>
      <c r="AC53" s="182" t="n"/>
      <c r="AD53" s="182" t="n"/>
      <c r="AE53" s="182" t="n"/>
      <c r="AF53" s="182" t="n"/>
      <c r="AG53" s="183">
        <f>COUNTIF(C53:AF53,"x")</f>
        <v/>
      </c>
      <c r="AH53" s="182" t="n"/>
      <c r="AI53" s="182" t="n"/>
      <c r="AJ53" s="182" t="n"/>
      <c r="AK53" s="182" t="n"/>
      <c r="AL53" s="182" t="inlineStr">
        <is>
          <t>x</t>
        </is>
      </c>
      <c r="AM53" s="182" t="n"/>
      <c r="AN53" s="182" t="n"/>
      <c r="AO53" s="182" t="n"/>
      <c r="AP53" s="182" t="n"/>
      <c r="AQ53" s="182" t="n"/>
      <c r="AR53" s="182" t="n"/>
      <c r="AS53" s="182" t="n"/>
      <c r="AT53" s="182" t="n"/>
      <c r="AU53" s="182" t="n"/>
      <c r="AV53" s="182" t="n"/>
      <c r="AW53" s="182" t="n"/>
    </row>
    <row r="54" ht="21" customHeight="1">
      <c r="B54" s="181" t="inlineStr">
        <is>
          <t>RF-52</t>
        </is>
      </c>
      <c r="C54" s="182" t="n"/>
      <c r="D54" s="182" t="n"/>
      <c r="E54" s="182" t="n"/>
      <c r="F54" s="182" t="n"/>
      <c r="G54" s="182" t="n"/>
      <c r="H54" s="182" t="n"/>
      <c r="I54" s="182" t="n"/>
      <c r="J54" s="182" t="n"/>
      <c r="K54" s="182" t="n"/>
      <c r="L54" s="182" t="n"/>
      <c r="M54" s="182" t="n"/>
      <c r="N54" s="182" t="n"/>
      <c r="O54" s="182" t="n"/>
      <c r="P54" s="182" t="inlineStr">
        <is>
          <t>x</t>
        </is>
      </c>
      <c r="Q54" s="182" t="n"/>
      <c r="R54" s="182" t="n"/>
      <c r="S54" s="182" t="n"/>
      <c r="T54" s="182" t="n"/>
      <c r="U54" s="182" t="n"/>
      <c r="V54" s="182" t="n"/>
      <c r="W54" s="182" t="n"/>
      <c r="X54" s="182" t="n"/>
      <c r="Y54" s="182" t="n"/>
      <c r="Z54" s="182" t="n"/>
      <c r="AA54" s="182" t="n"/>
      <c r="AB54" s="182" t="n"/>
      <c r="AC54" s="182" t="n"/>
      <c r="AD54" s="182" t="inlineStr">
        <is>
          <t>x</t>
        </is>
      </c>
      <c r="AE54" s="182" t="n"/>
      <c r="AF54" s="182" t="n"/>
      <c r="AG54" s="183">
        <f>COUNTIF(C54:AF54,"x")</f>
        <v/>
      </c>
      <c r="AH54" s="182" t="n"/>
      <c r="AI54" s="182" t="n"/>
      <c r="AJ54" s="182" t="n"/>
      <c r="AK54" s="182" t="n"/>
      <c r="AL54" s="182" t="n"/>
      <c r="AM54" s="182" t="n"/>
      <c r="AN54" s="182" t="n"/>
      <c r="AO54" s="182" t="n"/>
      <c r="AP54" s="182" t="n"/>
      <c r="AQ54" s="182" t="n"/>
      <c r="AR54" s="182" t="inlineStr">
        <is>
          <t>x</t>
        </is>
      </c>
      <c r="AS54" s="182" t="n"/>
      <c r="AT54" s="182" t="n"/>
      <c r="AU54" s="182" t="n"/>
      <c r="AV54" s="182" t="n"/>
      <c r="AW54" s="182" t="n"/>
    </row>
    <row r="55" ht="21" customHeight="1">
      <c r="B55" s="181" t="inlineStr">
        <is>
          <t>RF-53</t>
        </is>
      </c>
      <c r="C55" s="182" t="n"/>
      <c r="D55" s="182" t="n"/>
      <c r="E55" s="182" t="n"/>
      <c r="F55" s="182" t="n"/>
      <c r="G55" s="182" t="n"/>
      <c r="H55" s="182" t="n"/>
      <c r="I55" s="182" t="n"/>
      <c r="J55" s="182" t="n"/>
      <c r="K55" s="182" t="n"/>
      <c r="L55" s="182" t="n"/>
      <c r="M55" s="182" t="n"/>
      <c r="N55" s="182" t="n"/>
      <c r="O55" s="182" t="n"/>
      <c r="P55" s="182" t="n"/>
      <c r="Q55" s="182" t="n"/>
      <c r="R55" s="182" t="n"/>
      <c r="S55" s="182" t="n"/>
      <c r="T55" s="182" t="n"/>
      <c r="U55" s="182" t="n"/>
      <c r="V55" s="182" t="n"/>
      <c r="W55" s="182" t="n"/>
      <c r="X55" s="182" t="n"/>
      <c r="Y55" s="182" t="n"/>
      <c r="Z55" s="182" t="n"/>
      <c r="AA55" s="182" t="n"/>
      <c r="AB55" s="182" t="n"/>
      <c r="AC55" s="182" t="n"/>
      <c r="AD55" s="182" t="n"/>
      <c r="AE55" s="182" t="inlineStr">
        <is>
          <t>x</t>
        </is>
      </c>
      <c r="AF55" s="182" t="n"/>
      <c r="AG55" s="183">
        <f>COUNTIF(C55:AF55,"x")</f>
        <v/>
      </c>
      <c r="AH55" s="182" t="n"/>
      <c r="AI55" s="182" t="n"/>
      <c r="AJ55" s="182" t="n"/>
      <c r="AK55" s="182" t="n"/>
      <c r="AL55" s="182" t="inlineStr">
        <is>
          <t>x</t>
        </is>
      </c>
      <c r="AM55" s="182" t="n"/>
      <c r="AN55" s="182" t="n"/>
      <c r="AO55" s="182" t="n"/>
      <c r="AP55" s="182" t="n"/>
      <c r="AQ55" s="182" t="n"/>
      <c r="AR55" s="182" t="n"/>
      <c r="AS55" s="182" t="n"/>
      <c r="AT55" s="182" t="n"/>
      <c r="AU55" s="182" t="n"/>
      <c r="AV55" s="182" t="n"/>
      <c r="AW55" s="182" t="n"/>
    </row>
    <row r="56" ht="21" customHeight="1">
      <c r="B56" s="181" t="inlineStr">
        <is>
          <t>RF-54</t>
        </is>
      </c>
      <c r="C56" s="182" t="n"/>
      <c r="D56" s="182" t="n"/>
      <c r="E56" s="182" t="n"/>
      <c r="F56" s="182" t="n"/>
      <c r="G56" s="182" t="n"/>
      <c r="H56" s="182" t="n"/>
      <c r="I56" s="182" t="n"/>
      <c r="J56" s="182" t="n"/>
      <c r="K56" s="182" t="n"/>
      <c r="L56" s="182" t="n"/>
      <c r="M56" s="182" t="n"/>
      <c r="N56" s="182" t="n"/>
      <c r="O56" s="182" t="n"/>
      <c r="P56" s="182" t="n"/>
      <c r="Q56" s="182" t="n"/>
      <c r="R56" s="182" t="n"/>
      <c r="S56" s="182" t="n"/>
      <c r="T56" s="182" t="n"/>
      <c r="U56" s="182" t="n"/>
      <c r="V56" s="182" t="n"/>
      <c r="W56" s="182" t="n"/>
      <c r="X56" s="182" t="n"/>
      <c r="Y56" s="182" t="inlineStr">
        <is>
          <t>x</t>
        </is>
      </c>
      <c r="Z56" s="182" t="n"/>
      <c r="AA56" s="182" t="n"/>
      <c r="AB56" s="182" t="n"/>
      <c r="AC56" s="182" t="n"/>
      <c r="AD56" s="182" t="n"/>
      <c r="AE56" s="182" t="n"/>
      <c r="AF56" s="182" t="n"/>
      <c r="AG56" s="183">
        <f>COUNTIF(C56:AF56,"x")</f>
        <v/>
      </c>
      <c r="AH56" s="182" t="n"/>
      <c r="AI56" s="182" t="n"/>
      <c r="AJ56" s="182" t="n"/>
      <c r="AK56" s="182" t="n"/>
      <c r="AL56" s="182" t="n"/>
      <c r="AM56" s="182" t="n"/>
      <c r="AN56" s="182" t="inlineStr">
        <is>
          <t>x</t>
        </is>
      </c>
      <c r="AO56" s="182" t="inlineStr">
        <is>
          <t>x</t>
        </is>
      </c>
      <c r="AP56" s="182" t="n"/>
      <c r="AQ56" s="182" t="n"/>
      <c r="AR56" s="182" t="n"/>
      <c r="AS56" s="182" t="n"/>
      <c r="AT56" s="182" t="n"/>
      <c r="AU56" s="182" t="n"/>
      <c r="AV56" s="182" t="n"/>
      <c r="AW56" s="182" t="n"/>
    </row>
    <row r="57" ht="21" customHeight="1">
      <c r="B57" s="181" t="inlineStr">
        <is>
          <t>RF-55</t>
        </is>
      </c>
      <c r="C57" s="182" t="n"/>
      <c r="D57" s="182" t="n"/>
      <c r="E57" s="182" t="n"/>
      <c r="F57" s="182" t="n"/>
      <c r="G57" s="182" t="n"/>
      <c r="H57" s="182" t="n"/>
      <c r="I57" s="182" t="n"/>
      <c r="J57" s="182" t="n"/>
      <c r="K57" s="182" t="n"/>
      <c r="L57" s="182" t="n"/>
      <c r="M57" s="182" t="n"/>
      <c r="N57" s="182" t="n"/>
      <c r="O57" s="182" t="n"/>
      <c r="P57" s="182" t="n"/>
      <c r="Q57" s="182" t="n"/>
      <c r="R57" s="182" t="n"/>
      <c r="S57" s="182" t="n"/>
      <c r="T57" s="182" t="n"/>
      <c r="U57" s="182" t="n"/>
      <c r="V57" s="182" t="inlineStr">
        <is>
          <t>x</t>
        </is>
      </c>
      <c r="W57" s="182" t="n"/>
      <c r="X57" s="182" t="n"/>
      <c r="Y57" s="182" t="n"/>
      <c r="Z57" s="182" t="n"/>
      <c r="AA57" s="182" t="n"/>
      <c r="AB57" s="182" t="n"/>
      <c r="AC57" s="182" t="n"/>
      <c r="AD57" s="182" t="n"/>
      <c r="AE57" s="182" t="n"/>
      <c r="AF57" s="182" t="n"/>
      <c r="AG57" s="183">
        <f>COUNTIF(C57:AF57,"x")</f>
        <v/>
      </c>
      <c r="AH57" s="182" t="inlineStr">
        <is>
          <t>x</t>
        </is>
      </c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</row>
    <row r="58" ht="21" customHeight="1">
      <c r="B58" s="181" t="inlineStr">
        <is>
          <t>RF-56</t>
        </is>
      </c>
      <c r="C58" s="182" t="n"/>
      <c r="D58" s="182" t="n"/>
      <c r="E58" s="182" t="inlineStr">
        <is>
          <t>x</t>
        </is>
      </c>
      <c r="F58" s="182" t="n"/>
      <c r="G58" s="182" t="n"/>
      <c r="H58" s="182" t="n"/>
      <c r="I58" s="182" t="n"/>
      <c r="J58" s="182" t="n"/>
      <c r="K58" s="182" t="n"/>
      <c r="L58" s="182" t="n"/>
      <c r="M58" s="182" t="n"/>
      <c r="N58" s="182" t="n"/>
      <c r="O58" s="182" t="n"/>
      <c r="P58" s="182" t="n"/>
      <c r="Q58" s="182" t="n"/>
      <c r="R58" s="182" t="n"/>
      <c r="S58" s="182" t="n"/>
      <c r="T58" s="182" t="n"/>
      <c r="U58" s="182" t="n"/>
      <c r="V58" s="182" t="n"/>
      <c r="W58" s="182" t="n"/>
      <c r="X58" s="182" t="n"/>
      <c r="Y58" s="182" t="n"/>
      <c r="Z58" s="182" t="n"/>
      <c r="AA58" s="182" t="n"/>
      <c r="AB58" s="182" t="n"/>
      <c r="AC58" s="182" t="n"/>
      <c r="AD58" s="182" t="n"/>
      <c r="AE58" s="182" t="n"/>
      <c r="AF58" s="182" t="n"/>
      <c r="AG58" s="183">
        <f>COUNTIF(C58:AF58,"x")</f>
        <v/>
      </c>
      <c r="AH58" s="182" t="inlineStr">
        <is>
          <t>x</t>
        </is>
      </c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inlineStr">
        <is>
          <t>x</t>
        </is>
      </c>
      <c r="AV58" s="182" t="n"/>
      <c r="AW58" s="182" t="n"/>
    </row>
    <row r="59" ht="21" customHeight="1">
      <c r="B59" s="181" t="inlineStr">
        <is>
          <t>RF-57</t>
        </is>
      </c>
      <c r="C59" s="182" t="n"/>
      <c r="D59" s="182" t="n"/>
      <c r="E59" s="182" t="n"/>
      <c r="F59" s="182" t="n"/>
      <c r="G59" s="182" t="n"/>
      <c r="H59" s="182" t="n"/>
      <c r="I59" s="182" t="n"/>
      <c r="J59" s="182" t="n"/>
      <c r="K59" s="182" t="n"/>
      <c r="L59" s="182" t="n"/>
      <c r="M59" s="182" t="n"/>
      <c r="N59" s="182" t="n"/>
      <c r="O59" s="182" t="inlineStr">
        <is>
          <t>x</t>
        </is>
      </c>
      <c r="P59" s="182" t="n"/>
      <c r="Q59" s="182" t="n"/>
      <c r="R59" s="182" t="n"/>
      <c r="S59" s="182" t="n"/>
      <c r="T59" s="182" t="n"/>
      <c r="U59" s="182" t="n"/>
      <c r="V59" s="182" t="n"/>
      <c r="W59" s="182" t="n"/>
      <c r="X59" s="182" t="n"/>
      <c r="Y59" s="182" t="n"/>
      <c r="Z59" s="182" t="n"/>
      <c r="AA59" s="182" t="n"/>
      <c r="AB59" s="182" t="n"/>
      <c r="AC59" s="182" t="n"/>
      <c r="AD59" s="182" t="n"/>
      <c r="AE59" s="182" t="n"/>
      <c r="AF59" s="182" t="n"/>
      <c r="AG59" s="183">
        <f>COUNTIF(C59:AF59,"x")</f>
        <v/>
      </c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</row>
    <row r="60" ht="21" customHeight="1">
      <c r="B60" s="181" t="inlineStr">
        <is>
          <t>RF-58</t>
        </is>
      </c>
      <c r="C60" s="182" t="n"/>
      <c r="D60" s="182" t="n"/>
      <c r="E60" s="182" t="n"/>
      <c r="F60" s="182" t="n"/>
      <c r="G60" s="182" t="n"/>
      <c r="H60" s="182" t="n"/>
      <c r="I60" s="182" t="n"/>
      <c r="J60" s="182" t="n"/>
      <c r="K60" s="182" t="n"/>
      <c r="L60" s="182" t="n"/>
      <c r="M60" s="182" t="n"/>
      <c r="N60" s="182" t="n"/>
      <c r="O60" s="182" t="n"/>
      <c r="P60" s="182" t="n"/>
      <c r="Q60" s="182" t="n"/>
      <c r="R60" s="182" t="n"/>
      <c r="S60" s="182" t="n"/>
      <c r="T60" s="182" t="n"/>
      <c r="U60" s="182" t="n"/>
      <c r="V60" s="182" t="n"/>
      <c r="W60" s="182" t="n"/>
      <c r="X60" s="182" t="n"/>
      <c r="Y60" s="182" t="n"/>
      <c r="Z60" s="182" t="n"/>
      <c r="AA60" s="182" t="n"/>
      <c r="AB60" s="182" t="n"/>
      <c r="AC60" s="182" t="n"/>
      <c r="AD60" s="182" t="n"/>
      <c r="AE60" s="182" t="n"/>
      <c r="AF60" s="182" t="n"/>
      <c r="AG60" s="183">
        <f>COUNTIF(C60:AF60,"x")</f>
        <v/>
      </c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inlineStr">
        <is>
          <t>x</t>
        </is>
      </c>
    </row>
    <row r="61" ht="21" customHeight="1">
      <c r="B61" s="181" t="inlineStr">
        <is>
          <t>RF-59</t>
        </is>
      </c>
      <c r="C61" s="182" t="n"/>
      <c r="D61" s="182" t="n"/>
      <c r="E61" s="182" t="n"/>
      <c r="F61" s="182" t="n"/>
      <c r="G61" s="182" t="n"/>
      <c r="H61" s="182" t="n"/>
      <c r="I61" s="182" t="n"/>
      <c r="J61" s="182" t="n"/>
      <c r="K61" s="182" t="n"/>
      <c r="L61" s="182" t="n"/>
      <c r="M61" s="182" t="n"/>
      <c r="N61" s="182" t="n"/>
      <c r="O61" s="182" t="n"/>
      <c r="P61" s="182" t="n"/>
      <c r="Q61" s="182" t="n"/>
      <c r="R61" s="182" t="n"/>
      <c r="S61" s="182" t="n"/>
      <c r="T61" s="182" t="n"/>
      <c r="U61" s="182" t="n"/>
      <c r="V61" s="182" t="n"/>
      <c r="W61" s="182" t="n"/>
      <c r="X61" s="182" t="n"/>
      <c r="Y61" s="182" t="n"/>
      <c r="Z61" s="182" t="n"/>
      <c r="AA61" s="182" t="n"/>
      <c r="AB61" s="182" t="n"/>
      <c r="AC61" s="182" t="n"/>
      <c r="AD61" s="182" t="n"/>
      <c r="AE61" s="182" t="n"/>
      <c r="AF61" s="182" t="n"/>
      <c r="AG61" s="183">
        <f>COUNTIF(C61:AF61,"x")</f>
        <v/>
      </c>
      <c r="AH61" s="182" t="n"/>
      <c r="AI61" s="182" t="n"/>
      <c r="AJ61" s="182" t="n"/>
      <c r="AK61" s="182" t="n"/>
      <c r="AL61" s="182" t="n"/>
      <c r="AM61" s="182" t="n"/>
      <c r="AN61" s="182" t="n"/>
      <c r="AO61" s="182" t="inlineStr">
        <is>
          <t>x</t>
        </is>
      </c>
      <c r="AP61" s="182" t="n"/>
      <c r="AQ61" s="182" t="n"/>
      <c r="AR61" s="182" t="n"/>
      <c r="AS61" s="182" t="n"/>
      <c r="AT61" s="182" t="n"/>
      <c r="AU61" s="182" t="n"/>
      <c r="AV61" s="182" t="n"/>
      <c r="AW61" s="182" t="inlineStr">
        <is>
          <t>x</t>
        </is>
      </c>
    </row>
    <row r="62" ht="21" customHeight="1">
      <c r="B62" s="181" t="inlineStr">
        <is>
          <t>RF-60</t>
        </is>
      </c>
      <c r="C62" s="182" t="n"/>
      <c r="D62" s="182" t="n"/>
      <c r="E62" s="182" t="n"/>
      <c r="F62" s="182" t="n"/>
      <c r="G62" s="182" t="n"/>
      <c r="H62" s="182" t="n"/>
      <c r="I62" s="182" t="n"/>
      <c r="J62" s="182" t="n"/>
      <c r="K62" s="182" t="n"/>
      <c r="L62" s="182" t="n"/>
      <c r="M62" s="182" t="n"/>
      <c r="N62" s="182" t="n"/>
      <c r="O62" s="182" t="n"/>
      <c r="P62" s="182" t="n"/>
      <c r="Q62" s="182" t="n"/>
      <c r="R62" s="182" t="n"/>
      <c r="S62" s="182" t="n"/>
      <c r="T62" s="182" t="n"/>
      <c r="U62" s="182" t="n"/>
      <c r="V62" s="182" t="n"/>
      <c r="W62" s="182" t="n"/>
      <c r="X62" s="182" t="n"/>
      <c r="Y62" s="182" t="n"/>
      <c r="Z62" s="182" t="n"/>
      <c r="AA62" s="182" t="n"/>
      <c r="AB62" s="182" t="n"/>
      <c r="AC62" s="182" t="n"/>
      <c r="AD62" s="182" t="n"/>
      <c r="AE62" s="182" t="n"/>
      <c r="AF62" s="182" t="n"/>
      <c r="AG62" s="183">
        <f>COUNTIF(C62:AF62,"x")</f>
        <v/>
      </c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inlineStr">
        <is>
          <t>x</t>
        </is>
      </c>
    </row>
    <row r="63">
      <c r="A63" s="184" t="inlineStr">
        <is>
          <t>RF por CU</t>
        </is>
      </c>
      <c r="B63" s="185" t="n"/>
      <c r="C63" s="183">
        <f>COUNTIF(C3:C62,"x")</f>
        <v/>
      </c>
      <c r="D63" s="183">
        <f>COUNTIF(D3:D62,"x")</f>
        <v/>
      </c>
      <c r="E63" s="183">
        <f>COUNTIF(E3:E62,"x")</f>
        <v/>
      </c>
      <c r="F63" s="183">
        <f>COUNTIF(F3:F62,"x")</f>
        <v/>
      </c>
      <c r="G63" s="183">
        <f>COUNTIF(G3:G62,"x")</f>
        <v/>
      </c>
      <c r="H63" s="183">
        <f>COUNTIF(H3:H62,"x")</f>
        <v/>
      </c>
      <c r="I63" s="183">
        <f>COUNTIF(I3:I62,"x")</f>
        <v/>
      </c>
      <c r="J63" s="183">
        <f>COUNTIF(J3:J62,"x")</f>
        <v/>
      </c>
      <c r="K63" s="183">
        <f>COUNTIF(K3:K62,"x")</f>
        <v/>
      </c>
      <c r="L63" s="183">
        <f>COUNTIF(L3:L62,"x")</f>
        <v/>
      </c>
      <c r="M63" s="183">
        <f>COUNTIF(M3:M62,"x")</f>
        <v/>
      </c>
      <c r="N63" s="183">
        <f>COUNTIF(N3:N62,"x")</f>
        <v/>
      </c>
      <c r="O63" s="183">
        <f>COUNTIF(O3:O62,"x")</f>
        <v/>
      </c>
      <c r="P63" s="183">
        <f>COUNTIF(P3:P62,"x")</f>
        <v/>
      </c>
      <c r="Q63" s="183">
        <f>COUNTIF(Q3:Q62,"x")</f>
        <v/>
      </c>
      <c r="R63" s="183">
        <f>COUNTIF(R3:R62,"x")</f>
        <v/>
      </c>
      <c r="S63" s="183">
        <f>COUNTIF(S3:S62,"x")</f>
        <v/>
      </c>
      <c r="T63" s="183">
        <f>COUNTIF(T3:T62,"x")</f>
        <v/>
      </c>
      <c r="U63" s="183">
        <f>COUNTIF(U3:U62,"x")</f>
        <v/>
      </c>
      <c r="V63" s="183">
        <f>COUNTIF(V3:V62,"x")</f>
        <v/>
      </c>
      <c r="W63" s="183">
        <f>COUNTIF(W3:W62,"x")</f>
        <v/>
      </c>
      <c r="X63" s="183">
        <f>COUNTIF(X3:X62,"x")</f>
        <v/>
      </c>
      <c r="Y63" s="183">
        <f>COUNTIF(Y3:Y62,"x")</f>
        <v/>
      </c>
      <c r="Z63" s="183">
        <f>COUNTIF(Z3:Z62,"x")</f>
        <v/>
      </c>
      <c r="AA63" s="183">
        <f>COUNTIF(AA3:AA62,"x")</f>
        <v/>
      </c>
      <c r="AB63" s="183">
        <f>COUNTIF(AB3:AB62,"x")</f>
        <v/>
      </c>
      <c r="AC63" s="183">
        <f>COUNTIF(AC3:AC62,"x")</f>
        <v/>
      </c>
      <c r="AD63" s="183">
        <f>COUNTIF(AD3:AD62,"x")</f>
        <v/>
      </c>
      <c r="AE63" s="183">
        <f>COUNTIF(AE3:AE62,"x")</f>
        <v/>
      </c>
      <c r="AF63" s="183">
        <f>COUNTIF(AF3:AF62,"x")</f>
        <v/>
      </c>
      <c r="AG63" s="186" t="n"/>
      <c r="AH63" s="183">
        <f>COUNTIF(AH3:AH62,"x")</f>
        <v/>
      </c>
      <c r="AI63" s="183">
        <f>COUNTIF(AI3:AI62,"x")</f>
        <v/>
      </c>
      <c r="AJ63" s="183">
        <f>COUNTIF(AJ3:AJ62,"x")</f>
        <v/>
      </c>
      <c r="AK63" s="183">
        <f>COUNTIF(AK3:AK62,"x")</f>
        <v/>
      </c>
      <c r="AL63" s="183">
        <f>COUNTIF(AL3:AL62,"x")</f>
        <v/>
      </c>
      <c r="AM63" s="183">
        <f>COUNTIF(AM3:AM62,"x")</f>
        <v/>
      </c>
      <c r="AN63" s="183">
        <f>COUNTIF(AN3:AN62,"x")</f>
        <v/>
      </c>
      <c r="AO63" s="183">
        <f>COUNTIF(AO3:AO62,"x")</f>
        <v/>
      </c>
      <c r="AP63" s="183">
        <f>COUNTIF(AP3:AP62,"x")</f>
        <v/>
      </c>
      <c r="AQ63" s="183">
        <f>COUNTIF(AQ3:AQ62,"x")</f>
        <v/>
      </c>
      <c r="AR63" s="183">
        <f>COUNTIF(AR3:AR62,"x")</f>
        <v/>
      </c>
      <c r="AS63" s="183">
        <f>COUNTIF(AS3:AS62,"x")</f>
        <v/>
      </c>
      <c r="AT63" s="183">
        <f>COUNTIF(AT3:AT62,"x")</f>
        <v/>
      </c>
      <c r="AU63" s="183">
        <f>COUNTIF(AU3:AU62,"x")</f>
        <v/>
      </c>
      <c r="AV63" s="183">
        <f>COUNTIF(AV3:AV62,"x")</f>
        <v/>
      </c>
      <c r="AW63" s="183">
        <f>COUNTIF(AW3:AW62,"x")</f>
        <v/>
      </c>
    </row>
    <row r="65" ht="24" customHeight="1">
      <c r="A65" s="187" t="inlineStr">
        <is>
          <t>x = el requisito participa en el caso de uso o usa la clase. Casos de uso: documento 10-casos-de-uso.md. En rojo, requisitos sin caso de uso.</t>
        </is>
      </c>
    </row>
  </sheetData>
  <mergeCells count="6">
    <mergeCell ref="A3:A62"/>
    <mergeCell ref="AH1:AW1"/>
    <mergeCell ref="C1:AG1"/>
    <mergeCell ref="A63:B63"/>
    <mergeCell ref="A65:W65"/>
    <mergeCell ref="A1:B2"/>
  </mergeCells>
  <conditionalFormatting sqref="AG3:AG62">
    <cfRule type="cellIs" priority="1" operator="equal" dxfId="17">
      <formula>0</formula>
    </cfRule>
  </conditionalFormatting>
  <conditionalFormatting sqref="C63:AF63">
    <cfRule type="cellIs" priority="2" operator="equal" dxfId="17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0" customWidth="1" min="3" max="3"/>
  </cols>
  <sheetData>
    <row r="1">
      <c r="A1" s="115" t="inlineStr">
        <is>
          <t>CONTROL DE CAMBIOS — VERSIÓN 2.0 (22/10/2026)</t>
        </is>
      </c>
      <c r="B1" s="188" t="n"/>
      <c r="C1" s="188" t="n"/>
    </row>
    <row r="2">
      <c r="A2" s="116" t="inlineStr">
        <is>
          <t>N.º</t>
        </is>
      </c>
      <c r="B2" s="116" t="inlineStr">
        <is>
          <t>Hoja</t>
        </is>
      </c>
      <c r="C2" s="116" t="inlineStr">
        <is>
          <t>Cambio</t>
        </is>
      </c>
    </row>
    <row r="3" ht="36" customHeight="1">
      <c r="A3" s="170" t="n">
        <v>1</v>
      </c>
      <c r="B3" s="170" t="inlineStr">
        <is>
          <t>General</t>
        </is>
      </c>
      <c r="C3" s="171" t="inlineStr">
        <is>
          <t>Hoja « RF» renombrada a «RF» (tenía un espacio al inicio). Se corrigieron los encabezados de la fila 1 («k» y el «REGLAS DEL NEGOCIO» duplicado sobre la estimación).</t>
        </is>
      </c>
    </row>
    <row r="4" ht="21" customHeight="1">
      <c r="A4" s="170" t="n">
        <v>2</v>
      </c>
      <c r="B4" s="170" t="inlineStr">
        <is>
          <t>General</t>
        </is>
      </c>
      <c r="C4" s="171" t="inlineStr">
        <is>
          <t>Códigos unificados con dos dígitos (RF-01) en todas las hojas.</t>
        </is>
      </c>
    </row>
    <row r="5" ht="36" customHeight="1">
      <c r="A5" s="170" t="n">
        <v>3</v>
      </c>
      <c r="B5" s="170" t="inlineStr">
        <is>
          <t>RF</t>
        </is>
      </c>
      <c r="C5" s="171" t="inlineStr">
        <is>
          <t>Módulos reorganizados: antes estaban corridos (p. ej. «Gestión de Roles» contenía la creación de productos y «Catálogo» el carrito).</t>
        </is>
      </c>
    </row>
    <row r="6" ht="21" customHeight="1">
      <c r="A6" s="170" t="n">
        <v>4</v>
      </c>
      <c r="B6" s="170" t="inlineStr">
        <is>
          <t>RF</t>
        </is>
      </c>
      <c r="C6" s="171" t="inlineStr">
        <is>
          <t>Columnas nuevas: Actor, Prioridad y Caso de uso. El tiempo quedó como número para poder sumarlo.</t>
        </is>
      </c>
    </row>
    <row r="7" ht="36" customHeight="1">
      <c r="A7" s="170" t="n">
        <v>5</v>
      </c>
      <c r="B7" s="170" t="inlineStr">
        <is>
          <t>RF</t>
        </is>
      </c>
      <c r="C7" s="171" t="inlineStr">
        <is>
          <t>Reglas reescritas: RN-03, 04, 05, 08, 11, 13, 16, 20, 22, 24, 26, 27, 34 y 35. Se quitaron las reglas ambiguas «(opcional)» y «si aplica».</t>
        </is>
      </c>
    </row>
    <row r="8" ht="36" customHeight="1">
      <c r="A8" s="170" t="n">
        <v>6</v>
      </c>
      <c r="B8" s="170" t="inlineStr">
        <is>
          <t>RF</t>
        </is>
      </c>
      <c r="C8" s="171" t="inlineStr">
        <is>
          <t>Nuevos requisitos RF-36 a RF-57: funciones que el sistema ya tiene y la matriz no mencionaba (cupones, reseñas, moderación, inventario, factura PDF, contenido del inicio, etc.).</t>
        </is>
      </c>
    </row>
    <row r="9" ht="36" customHeight="1">
      <c r="A9" s="170" t="n">
        <v>7</v>
      </c>
      <c r="B9" s="170" t="inlineStr">
        <is>
          <t>RF</t>
        </is>
      </c>
      <c r="C9" s="171" t="inlineStr">
        <is>
          <t>RF-58 a RF-60: reglas del motor de corte textil del SRS (RF-04 y RF-05 y la historia de usuario 3 del documento 01), renumeradas para no chocar con la numeración de la matriz.</t>
        </is>
      </c>
    </row>
    <row r="10" ht="36" customHeight="1">
      <c r="A10" s="170" t="n">
        <v>8</v>
      </c>
      <c r="B10" s="170" t="inlineStr">
        <is>
          <t>RNF</t>
        </is>
      </c>
      <c r="C10" s="171" t="inlineStr">
        <is>
          <t>Nombres corregidos según ISO/IEC 25010 (Adecuación funcional, Eficiencia de desempeño, Portabilidad…). Cada RNF tiene ahora una métrica medible.</t>
        </is>
      </c>
    </row>
    <row r="11" ht="36" customHeight="1">
      <c r="A11" s="170" t="n">
        <v>9</v>
      </c>
      <c r="B11" s="170" t="inlineStr">
        <is>
          <t>RNF</t>
        </is>
      </c>
      <c r="C11" s="171" t="inlineStr">
        <is>
          <t>Nuevos RNF-08 y RNF-12 a RNF-18: interoperabilidad, concurrencia, recuperación, confidencialidad, integridad, auditoría, Habeas Data y accesibilidad.</t>
        </is>
      </c>
    </row>
    <row r="12" ht="36" customHeight="1">
      <c r="A12" s="170" t="n">
        <v>10</v>
      </c>
      <c r="B12" s="170" t="inlineStr">
        <is>
          <t>Trazabilidad</t>
        </is>
      </c>
      <c r="C12" s="171" t="inlineStr">
        <is>
          <t>Rehecha para los 60 requisitos contra los 30 casos de uso de los diagramas y las clases reales del backend. Se borraron las «X» sueltas de las filas 52 a 101.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APRENDIZ</dc:creator>
  <dcterms:created xmlns:dcterms="http://purl.org/dc/terms/" xmlns:xsi="http://www.w3.org/2001/XMLSchema-instance" xsi:type="dcterms:W3CDTF">2017-05-09T14:31:00Z</dcterms:created>
  <dcterms:modified xmlns:dcterms="http://purl.org/dc/terms/" xmlns:xsi="http://www.w3.org/2001/XMLSchema-instance" xsi:type="dcterms:W3CDTF">2026-10-23T01:35:48Z</dcterms:modified>
  <cp:lastModifiedBy>daniel barrientos</cp:lastModifiedBy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8b753251-da4d-422b-bc90-3830fd339f71</vt:lpwstr>
  </property>
  <property name="MSIP_Label_fc111285-cafa-4fc9-8a9a-bd902089b24f_Enabled" fmtid="{D5CDD505-2E9C-101B-9397-08002B2CF9AE}" pid="3">
    <vt:lpwstr xmlns:vt="http://schemas.openxmlformats.org/officeDocument/2006/docPropsVTypes">true</vt:lpwstr>
  </property>
  <property name="MSIP_Label_fc111285-cafa-4fc9-8a9a-bd902089b24f_SetDate" fmtid="{D5CDD505-2E9C-101B-9397-08002B2CF9AE}" pid="4">
    <vt:lpwstr xmlns:vt="http://schemas.openxmlformats.org/officeDocument/2006/docPropsVTypes">2025-10-28T20:39:45Z</vt:lpwstr>
  </property>
  <property name="MSIP_Label_fc111285-cafa-4fc9-8a9a-bd902089b24f_Method" fmtid="{D5CDD505-2E9C-101B-9397-08002B2CF9AE}" pid="5">
    <vt:lpwstr xmlns:vt="http://schemas.openxmlformats.org/officeDocument/2006/docPropsVTypes">Privileged</vt:lpwstr>
  </property>
  <property name="MSIP_Label_fc111285-cafa-4fc9-8a9a-bd902089b24f_Name" fmtid="{D5CDD505-2E9C-101B-9397-08002B2CF9AE}" pid="6">
    <vt:lpwstr xmlns:vt="http://schemas.openxmlformats.org/officeDocument/2006/docPropsVTypes">Public</vt:lpwstr>
  </property>
  <property name="MSIP_Label_fc111285-cafa-4fc9-8a9a-bd902089b24f_SiteId" fmtid="{D5CDD505-2E9C-101B-9397-08002B2CF9AE}" pid="7">
    <vt:lpwstr xmlns:vt="http://schemas.openxmlformats.org/officeDocument/2006/docPropsVTypes">cbc2c381-2f2e-4d93-91d1-506c9316ace7</vt:lpwstr>
  </property>
  <property name="MSIP_Label_fc111285-cafa-4fc9-8a9a-bd902089b24f_ActionId" fmtid="{D5CDD505-2E9C-101B-9397-08002B2CF9AE}" pid="8">
    <vt:lpwstr xmlns:vt="http://schemas.openxmlformats.org/officeDocument/2006/docPropsVTypes">5f2d2296-1956-453d-83e8-be8869451362</vt:lpwstr>
  </property>
  <property name="MSIP_Label_fc111285-cafa-4fc9-8a9a-bd902089b24f_ContentBits" fmtid="{D5CDD505-2E9C-101B-9397-08002B2CF9AE}" pid="9">
    <vt:lpwstr xmlns:vt="http://schemas.openxmlformats.org/officeDocument/2006/docPropsVTypes">0</vt:lpwstr>
  </property>
  <property name="MSIP_Label_fc111285-cafa-4fc9-8a9a-bd902089b24f_Tag" fmtid="{D5CDD505-2E9C-101B-9397-08002B2CF9AE}" pid="10">
    <vt:lpwstr xmlns:vt="http://schemas.openxmlformats.org/officeDocument/2006/docPropsVTypes">10, 0, 1, 1</vt:lpwstr>
  </property>
  <property name="KSOProductBuildVer" fmtid="{D5CDD505-2E9C-101B-9397-08002B2CF9AE}" pid="11">
    <vt:lpwstr xmlns:vt="http://schemas.openxmlformats.org/officeDocument/2006/docPropsVTypes">3082-12.2.0.23202</vt:lpwstr>
  </property>
  <property name="ICV" fmtid="{D5CDD505-2E9C-101B-9397-08002B2CF9AE}" pid="12">
    <vt:lpwstr xmlns:vt="http://schemas.openxmlformats.org/officeDocument/2006/docPropsVTypes">9EDBECD38C7E4B4F89C2DCF6A9C29B49_13</vt:lpwstr>
  </property>
</Properties>
</file>